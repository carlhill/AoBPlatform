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del" sheetId="2" state="visible" r:id="rId4"/>
    <sheet name="Unit Economics" sheetId="3" state="visible" r:id="rId5"/>
    <sheet name="Scenarios" sheetId="4" state="visible" r:id="rId6"/>
    <sheet name="Sensi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<sst xmlns="http://schemas.openxmlformats.org/spreadsheetml/2006/main" count="295" uniqueCount="250">
  <si>
    <t xml:space="preserve">AoBPlatform — Cash Model Assumptions</t>
  </si>
  <si>
    <t xml:space="preserve">Every blue cell is an input. Yellow cells are the levers that move the answer most. All figures in AUD.</t>
  </si>
  <si>
    <t xml:space="preserve">Legend: blue = input you can change · black = calculated · green = pulled from another sheet · yellow fill = key lever</t>
  </si>
  <si>
    <t xml:space="preserve">SCENARIO   (1 = Base   2 = Lean team   3 = Lean + more adoption   4 = Realistic upside)</t>
  </si>
  <si>
    <t xml:space="preserve">Change this one cell to switch the whole model. Everything below with a formula follows it.</t>
  </si>
  <si>
    <t xml:space="preserve">MARKET</t>
  </si>
  <si>
    <t xml:space="preserve">General practices in Australia (accredited)</t>
  </si>
  <si>
    <t xml:space="preserve">RACGP Health of the Nation 2025</t>
  </si>
  <si>
    <t xml:space="preserve">Average billing practitioners per GP practice</t>
  </si>
  <si>
    <t xml:space="preserve">40,375 GPs / 7,132 practices, rounded down for part-time</t>
  </si>
  <si>
    <t xml:space="preserve">Target non-GP practices (allied, optometry, specialist)</t>
  </si>
  <si>
    <t xml:space="preserve">Estimate — no published practice count exists for these segments</t>
  </si>
  <si>
    <t xml:space="preserve">Average billing practitioners per non-GP practice</t>
  </si>
  <si>
    <t xml:space="preserve">Estimate</t>
  </si>
  <si>
    <t xml:space="preserve">PRICING</t>
  </si>
  <si>
    <t xml:space="preserve">Core subscription — GP ($ per practitioner per month)</t>
  </si>
  <si>
    <t xml:space="preserve">vs Bp Premier ~$124/mo per FT doctor and HotDoc from ~$85/practitioner/mo</t>
  </si>
  <si>
    <t xml:space="preserve">Core subscription — non-GP ($ per practitioner per month)</t>
  </si>
  <si>
    <t xml:space="preserve">Lower ability to pay in allied and solo practice</t>
  </si>
  <si>
    <t xml:space="preserve">Managed follow-up ($ per practice per month)</t>
  </si>
  <si>
    <t xml:space="preserve">Priced against staff time, not against software</t>
  </si>
  <si>
    <t xml:space="preserve">Managed follow-up attach rate (% of GP practices)</t>
  </si>
  <si>
    <t xml:space="preserve">Assumption</t>
  </si>
  <si>
    <t xml:space="preserve">Enduring enrolment ($ per completed agreement)</t>
  </si>
  <si>
    <t xml:space="preserve">One-off, in the year after a GP practice onboards</t>
  </si>
  <si>
    <t xml:space="preserve">Enduring agreements per GP practice (one-off campaign)</t>
  </si>
  <si>
    <t xml:space="preserve">Per practitioner, so a multiple of patients — see Addendum v3</t>
  </si>
  <si>
    <t xml:space="preserve">Audit response ($ per engagement)</t>
  </si>
  <si>
    <t xml:space="preserve">Low volume, high value</t>
  </si>
  <si>
    <t xml:space="preserve">Audit engagements (% of installed base per year)</t>
  </si>
  <si>
    <t xml:space="preserve">Recall campaigns — price per extra campaign ($)</t>
  </si>
  <si>
    <t xml:space="preserve">Practice-funded outreach (flu clinics, screening, MyMedicare drives); one/quarter included</t>
  </si>
  <si>
    <t xml:space="preserve">Paid extra campaigns per practice per year (avg)</t>
  </si>
  <si>
    <t xml:space="preserve">Assumption — beyond the included quarterly campaign</t>
  </si>
  <si>
    <t xml:space="preserve">ADOPTION — new practices won during the year</t>
  </si>
  <si>
    <t xml:space="preserve">Financial year (Australian, ending 30 June)</t>
  </si>
  <si>
    <t xml:space="preserve">FY27</t>
  </si>
  <si>
    <t xml:space="preserve">FY28</t>
  </si>
  <si>
    <t xml:space="preserve">FY29</t>
  </si>
  <si>
    <t xml:space="preserve">FY30</t>
  </si>
  <si>
    <t xml:space="preserve">FY31</t>
  </si>
  <si>
    <t xml:space="preserve">New GP practices won</t>
  </si>
  <si>
    <t xml:space="preserve">New non-GP practices won</t>
  </si>
  <si>
    <t xml:space="preserve">Annual practice churn (%)</t>
  </si>
  <si>
    <t xml:space="preserve">COST OF DELIVERY</t>
  </si>
  <si>
    <t xml:space="preserve">Messaging and infrastructure ($ per practitioner per month)</t>
  </si>
  <si>
    <t xml:space="preserve">SMS at ~4c plus hosting; most capture is in-practice so remote volume is low</t>
  </si>
  <si>
    <t xml:space="preserve">Managed follow-up — delivery cost (% of that revenue)</t>
  </si>
  <si>
    <t xml:space="preserve">AI-led with a small human team for escalation</t>
  </si>
  <si>
    <t xml:space="preserve">Enrolment campaigns — delivery cost (% of that revenue)</t>
  </si>
  <si>
    <t xml:space="preserve">Largely automated</t>
  </si>
  <si>
    <t xml:space="preserve">Audit response — delivery cost (% of that revenue)</t>
  </si>
  <si>
    <t xml:space="preserve">Human-delivered</t>
  </si>
  <si>
    <t xml:space="preserve">OPERATING COSTS</t>
  </si>
  <si>
    <t xml:space="preserve">Financial year</t>
  </si>
  <si>
    <t xml:space="preserve">Headcount at year end (FTE)</t>
  </si>
  <si>
    <t xml:space="preserve">Average fully loaded cost per FTE ($)</t>
  </si>
  <si>
    <t xml:space="preserve">Sales and marketing (% of revenue, floor applies below)</t>
  </si>
  <si>
    <t xml:space="preserve">Sales and marketing floor ($)</t>
  </si>
  <si>
    <t xml:space="preserve">Security, compliance and assurance ($)</t>
  </si>
  <si>
    <t xml:space="preserve">Other general and administrative ($ per FTE)</t>
  </si>
  <si>
    <t xml:space="preserve">WORKING CAPITAL AND FUNDING</t>
  </si>
  <si>
    <t xml:space="preserve">Debtor days (subscription and services)</t>
  </si>
  <si>
    <t xml:space="preserve">Practices pay monthly in arrears</t>
  </si>
  <si>
    <t xml:space="preserve">Creditor days</t>
  </si>
  <si>
    <t xml:space="preserve">Opening cash at 1 July 2026 ($)</t>
  </si>
  <si>
    <t xml:space="preserve">Set to your actual opening position</t>
  </si>
  <si>
    <t xml:space="preserve">Cash buffer required on top of peak deficit ($)</t>
  </si>
  <si>
    <t xml:space="preserve">Rule of thumb — six months of run rate at the trough</t>
  </si>
  <si>
    <t xml:space="preserve">Equipment and fit-out per FTE ($)</t>
  </si>
  <si>
    <t xml:space="preserve">Laptops, desks, devices</t>
  </si>
  <si>
    <t xml:space="preserve">Asset life for depreciation (years)</t>
  </si>
  <si>
    <t xml:space="preserve">Straight line</t>
  </si>
  <si>
    <t xml:space="preserve">Company tax rate</t>
  </si>
  <si>
    <t xml:space="preserve">Base rate entity — turnover under $50m. 30% above that threshold.</t>
  </si>
  <si>
    <t xml:space="preserve">SCENARIO TABLE — the four cases</t>
  </si>
  <si>
    <t xml:space="preserve">1 Base</t>
  </si>
  <si>
    <t xml:space="preserve">2 Lean</t>
  </si>
  <si>
    <t xml:space="preserve">3 Lean+adoption</t>
  </si>
  <si>
    <t xml:space="preserve">4 Upside</t>
  </si>
  <si>
    <t xml:space="preserve">Core subscription — GP ($/practitioner/month)</t>
  </si>
  <si>
    <t xml:space="preserve">Core subscription — non-GP ($/practitioner/month)</t>
  </si>
  <si>
    <t xml:space="preserve">Managed follow-up ($/practice/month)</t>
  </si>
  <si>
    <t xml:space="preserve">Managed follow-up attach rate</t>
  </si>
  <si>
    <t xml:space="preserve">New GP practices — FY27</t>
  </si>
  <si>
    <t xml:space="preserve">New GP practices — FY28</t>
  </si>
  <si>
    <t xml:space="preserve">New GP practices — FY29</t>
  </si>
  <si>
    <t xml:space="preserve">New GP practices — FY30</t>
  </si>
  <si>
    <t xml:space="preserve">New GP practices — FY31</t>
  </si>
  <si>
    <t xml:space="preserve">New non-GP practices — FY27</t>
  </si>
  <si>
    <t xml:space="preserve">New non-GP practices — FY28</t>
  </si>
  <si>
    <t xml:space="preserve">New non-GP practices — FY29</t>
  </si>
  <si>
    <t xml:space="preserve">New non-GP practices — FY30</t>
  </si>
  <si>
    <t xml:space="preserve">New non-GP practices — FY31</t>
  </si>
  <si>
    <t xml:space="preserve">Headcount — FY27</t>
  </si>
  <si>
    <t xml:space="preserve">Headcount — FY28</t>
  </si>
  <si>
    <t xml:space="preserve">Headcount — FY29</t>
  </si>
  <si>
    <t xml:space="preserve">Headcount — FY30</t>
  </si>
  <si>
    <t xml:space="preserve">Headcount — FY31</t>
  </si>
  <si>
    <t xml:space="preserve">Grey cells above are driven by the scenario switch in B4. To model something outside these four cases, edit the blue numbers in this table.</t>
  </si>
  <si>
    <t xml:space="preserve">AoBPlatform — Five Year Model</t>
  </si>
  <si>
    <t xml:space="preserve">All figures in AUD. Australian financial years ending 30 June. Green figures are pulled from Assumptions.</t>
  </si>
  <si>
    <t xml:space="preserve">INSTALLED BASE</t>
  </si>
  <si>
    <t xml:space="preserve">GP practices — opening</t>
  </si>
  <si>
    <t xml:space="preserve">GP practices — won</t>
  </si>
  <si>
    <t xml:space="preserve">GP practices — closing</t>
  </si>
  <si>
    <t xml:space="preserve">Non-GP practices — opening</t>
  </si>
  <si>
    <t xml:space="preserve">Non-GP practices — won</t>
  </si>
  <si>
    <t xml:space="preserve">Non-GP practices — closing</t>
  </si>
  <si>
    <t xml:space="preserve">GP practices — average during year</t>
  </si>
  <si>
    <t xml:space="preserve">Non-GP practices — average during year</t>
  </si>
  <si>
    <t xml:space="preserve">Billing practitioners on the platform (average)</t>
  </si>
  <si>
    <t xml:space="preserve">REVENUE</t>
  </si>
  <si>
    <t xml:space="preserve">Core subscription — GP</t>
  </si>
  <si>
    <t xml:space="preserve">Core subscription — non-GP</t>
  </si>
  <si>
    <t xml:space="preserve">Managed follow-up</t>
  </si>
  <si>
    <t xml:space="preserve">Enduring enrolment campaigns</t>
  </si>
  <si>
    <t xml:space="preserve">Audit response</t>
  </si>
  <si>
    <t xml:space="preserve">Recall campaigns</t>
  </si>
  <si>
    <t xml:space="preserve">Total revenue</t>
  </si>
  <si>
    <t xml:space="preserve">Revenue growth</t>
  </si>
  <si>
    <t xml:space="preserve">-</t>
  </si>
  <si>
    <t xml:space="preserve">Messaging and infrastructure</t>
  </si>
  <si>
    <t xml:space="preserve">Managed follow-up delivery</t>
  </si>
  <si>
    <t xml:space="preserve">Enrolment campaign delivery</t>
  </si>
  <si>
    <t xml:space="preserve">Audit response delivery</t>
  </si>
  <si>
    <t xml:space="preserve">Recall campaign delivery</t>
  </si>
  <si>
    <t xml:space="preserve">Total cost of delivery</t>
  </si>
  <si>
    <t xml:space="preserve">Gross profit</t>
  </si>
  <si>
    <t xml:space="preserve">Gross margin</t>
  </si>
  <si>
    <t xml:space="preserve">People</t>
  </si>
  <si>
    <t xml:space="preserve">Sales and marketing</t>
  </si>
  <si>
    <t xml:space="preserve">Security, compliance and assurance</t>
  </si>
  <si>
    <t xml:space="preserve">Other general and administrative</t>
  </si>
  <si>
    <t xml:space="preserve">Total operating costs</t>
  </si>
  <si>
    <t xml:space="preserve">EBITDA</t>
  </si>
  <si>
    <t xml:space="preserve">EBITDA margin</t>
  </si>
  <si>
    <t xml:space="preserve">BELOW EBITDA</t>
  </si>
  <si>
    <t xml:space="preserve">Equipment and fit-out purchased in year</t>
  </si>
  <si>
    <t xml:space="preserve">Depreciation and amortisation</t>
  </si>
  <si>
    <t xml:space="preserve">EBIT</t>
  </si>
  <si>
    <t xml:space="preserve">Net interest</t>
  </si>
  <si>
    <t xml:space="preserve">Profit before tax</t>
  </si>
  <si>
    <t xml:space="preserve">Carried-forward tax losses — opening</t>
  </si>
  <si>
    <t xml:space="preserve">Losses used this year</t>
  </si>
  <si>
    <t xml:space="preserve">Taxable income</t>
  </si>
  <si>
    <t xml:space="preserve">Carried-forward tax losses — closing</t>
  </si>
  <si>
    <t xml:space="preserve">Company tax</t>
  </si>
  <si>
    <t xml:space="preserve">NET PROFIT AFTER TAX</t>
  </si>
  <si>
    <t xml:space="preserve">Net margin</t>
  </si>
  <si>
    <t xml:space="preserve">CASH</t>
  </si>
  <si>
    <t xml:space="preserve">Movement in receivables</t>
  </si>
  <si>
    <t xml:space="preserve">Movement in payables</t>
  </si>
  <si>
    <t xml:space="preserve">Add back depreciation and amortisation</t>
  </si>
  <si>
    <t xml:space="preserve">Equipment and fit-out purchased</t>
  </si>
  <si>
    <t xml:space="preserve">Net cash flow</t>
  </si>
  <si>
    <t xml:space="preserve">Opening cash</t>
  </si>
  <si>
    <t xml:space="preserve">Closing cash before funding</t>
  </si>
  <si>
    <t xml:space="preserve">FUNDING REQUIREMENT</t>
  </si>
  <si>
    <t xml:space="preserve">Deepest cash deficit across the five years</t>
  </si>
  <si>
    <t xml:space="preserve">Cash buffer</t>
  </si>
  <si>
    <t xml:space="preserve">Capital to raise</t>
  </si>
  <si>
    <t xml:space="preserve">Nothing on this sheet is a forecast. It is arithmetic on the Assumptions tab, and every assumption there is unvalidated.</t>
  </si>
  <si>
    <t xml:space="preserve">Unit economics — one average GP practice</t>
  </si>
  <si>
    <t xml:space="preserve">The number that decides whether this is a business. All figures in AUD.</t>
  </si>
  <si>
    <t xml:space="preserve">Billing practitioners per practice</t>
  </si>
  <si>
    <t xml:space="preserve">From Assumptions</t>
  </si>
  <si>
    <t xml:space="preserve">Core subscription per year</t>
  </si>
  <si>
    <t xml:space="preserve">Practitioners x monthly price x 12</t>
  </si>
  <si>
    <t xml:space="preserve">Managed follow-up per year (expected, at attach rate)</t>
  </si>
  <si>
    <t xml:space="preserve">Weighted by the share of practices that take it</t>
  </si>
  <si>
    <t xml:space="preserve">Enduring enrolment (one-off, year two)</t>
  </si>
  <si>
    <t xml:space="preserve">Non-recurring</t>
  </si>
  <si>
    <t xml:space="preserve">Audit response per year (expected)</t>
  </si>
  <si>
    <t xml:space="preserve">Weighted by frequency</t>
  </si>
  <si>
    <t xml:space="preserve">Recurring revenue per practice per year</t>
  </si>
  <si>
    <t xml:space="preserve">Excludes the one-off enrolment campaign</t>
  </si>
  <si>
    <t xml:space="preserve">Cost of delivery per practice per year</t>
  </si>
  <si>
    <t xml:space="preserve">Messaging, infrastructure and service delivery</t>
  </si>
  <si>
    <t xml:space="preserve">Gross profit per practice per year</t>
  </si>
  <si>
    <t xml:space="preserve">Customer acquisition cost</t>
  </si>
  <si>
    <t xml:space="preserve">FY28 sales and marketing divided by practices won that year</t>
  </si>
  <si>
    <t xml:space="preserve">Months to recover acquisition cost</t>
  </si>
  <si>
    <t xml:space="preserve">Gross-profit payback</t>
  </si>
  <si>
    <t xml:space="preserve">Average customer life (years)</t>
  </si>
  <si>
    <t xml:space="preserve">One divided by the steady-state churn rate</t>
  </si>
  <si>
    <t xml:space="preserve">Lifetime gross profit per practice</t>
  </si>
  <si>
    <t xml:space="preserve">Lifetime value to acquisition cost</t>
  </si>
  <si>
    <t xml:space="preserve">Below 3.0x the model does not work</t>
  </si>
  <si>
    <t xml:space="preserve">The comparison that matters</t>
  </si>
  <si>
    <t xml:space="preserve">Modelled saving per FTE GP per year (steady state)</t>
  </si>
  <si>
    <t xml:space="preserve">From the published advisory estimate of ~$1,750 per FTE GP per year, most of which is chase labour</t>
  </si>
  <si>
    <t xml:space="preserve">Our recurring price per practitioner per year</t>
  </si>
  <si>
    <t xml:space="preserve">Share of the saving we capture</t>
  </si>
  <si>
    <t xml:space="preserve">Well under half. If this exceeds ~50% the sale gets hard.</t>
  </si>
  <si>
    <t xml:space="preserve">Scenarios — full profit and loss, down to net profit after tax</t>
  </si>
  <si>
    <t xml:space="preserve">Now includes recall-campaign revenue (1.5 paid campaigns per practice per year at $199, 25% delivery cost). Tax at 25% after carried-forward losses.</t>
  </si>
  <si>
    <t xml:space="preserve">Scenario</t>
  </si>
  <si>
    <t xml:space="preserve">BASE — as built on the Model tab</t>
  </si>
  <si>
    <t xml:space="preserve">Headcount 9/20/36/54/70. $39 per practitioner. Follow-up $350 at 35% attach. Incl. recall campaigns.</t>
  </si>
  <si>
    <t xml:space="preserve">   Revenue</t>
  </si>
  <si>
    <t xml:space="preserve">   EBITDA</t>
  </si>
  <si>
    <t xml:space="preserve">   Depreciation and amortisation</t>
  </si>
  <si>
    <t xml:space="preserve">   EBIT / profit before tax</t>
  </si>
  <si>
    <t xml:space="preserve">   Company tax at 25%</t>
  </si>
  <si>
    <t xml:space="preserve">   NET PROFIT AFTER TAX</t>
  </si>
  <si>
    <t xml:space="preserve">   Carried-forward tax losses at year end</t>
  </si>
  <si>
    <t xml:space="preserve">   Cumulative net profit after tax</t>
  </si>
  <si>
    <t xml:space="preserve">LEAN — headcount 8/16/24/30/36</t>
  </si>
  <si>
    <t xml:space="preserve">Same price, same adoption. Only the team is smaller.</t>
  </si>
  <si>
    <t xml:space="preserve">LEAN + 50% MORE ADOPTION</t>
  </si>
  <si>
    <t xml:space="preserve">Lean team, base pricing, half again as many practices won each year.</t>
  </si>
  <si>
    <t xml:space="preserve">REALISTIC UPSIDE</t>
  </si>
  <si>
    <t xml:space="preserve">Lean team. $49 per practitioner. Follow-up $400 at 55% attach. 50% more adoption. Incl. recall campaigns.</t>
  </si>
  <si>
    <t xml:space="preserve">THE CEILING</t>
  </si>
  <si>
    <t xml:space="preserve">Recurring per GP practice — base pricing (incl. campaigns)</t>
  </si>
  <si>
    <t xml:space="preserve">Recurring per GP practice — upside pricing (incl. campaigns)</t>
  </si>
  <si>
    <t xml:space="preserve">Australian ceiling at 100% share — base</t>
  </si>
  <si>
    <t xml:space="preserve">Australian ceiling at 100% share — upside</t>
  </si>
  <si>
    <t xml:space="preserve">Campaigns add ~$5.7m to the ceiling</t>
  </si>
  <si>
    <t xml:space="preserve">A strong 25% share — upside</t>
  </si>
  <si>
    <t xml:space="preserve">BREAK-EVEN — revenue needed at a given team size</t>
  </si>
  <si>
    <t xml:space="preserve">Team size (FTE)</t>
  </si>
  <si>
    <t xml:space="preserve">Revenue required to break even</t>
  </si>
  <si>
    <t xml:space="preserve">GP-equivalent practices needed, base pricing</t>
  </si>
  <si>
    <t xml:space="preserve">As a share of the 7,132 GP practices</t>
  </si>
  <si>
    <t xml:space="preserve">Every figure is arithmetic on unvalidated assumptions. The verification pass (aob-model-verification.md) flags CAC as the binding one.</t>
  </si>
  <si>
    <t xml:space="preserve">Sensitivity — what actually moves the answer</t>
  </si>
  <si>
    <t xml:space="preserve">Capital to raise, at varying price and adoption. Change the Assumptions tab to move the base case.</t>
  </si>
  <si>
    <t xml:space="preserve">Base case capital to raise</t>
  </si>
  <si>
    <t xml:space="preserve">The three levers, in order of impact</t>
  </si>
  <si>
    <t xml:space="preserve">1. Adoption rate</t>
  </si>
  <si>
    <t xml:space="preserve">New practices won each year</t>
  </si>
  <si>
    <t xml:space="preserve">Halving adoption roughly doubles the time to break even and increases the raise. This is the single largest driver and the least controllable.</t>
  </si>
  <si>
    <t xml:space="preserve">2. Managed follow-up attach rate</t>
  </si>
  <si>
    <t xml:space="preserve">Share of practices taking the service</t>
  </si>
  <si>
    <t xml:space="preserve">Highest-margin recurring line after core subscription, and it is the offering competitors cannot bundle.</t>
  </si>
  <si>
    <t xml:space="preserve">3. Price per practitioner</t>
  </si>
  <si>
    <t xml:space="preserve">Core subscription</t>
  </si>
  <si>
    <t xml:space="preserve">We capture well under half the modelled saving, so there is headroom — but the two large distributors bundle a form at zero marginal cost, so price is not where this is won.</t>
  </si>
  <si>
    <t xml:space="preserve">To run a scenario: change the yellow cells on the Assumptions tab and read the capital to raise above.</t>
  </si>
  <si>
    <t xml:space="preserve">Known weaknesses in this model</t>
  </si>
  <si>
    <t xml:space="preserve">Adoption is assumed, not tested. No practice has paid anything.</t>
  </si>
  <si>
    <t xml:space="preserve">Churn is a flat annual rate. Real churn is front-loaded in year one.</t>
  </si>
  <si>
    <t xml:space="preserve">The managed follow-up margin assumes AI handles most contacts. That is unproven.</t>
  </si>
  <si>
    <t xml:space="preserve">Enduring enrolment revenue is one-off and does not repeat — it flatters year two.</t>
  </si>
  <si>
    <t xml:space="preserve">Non-GP practice count is an estimate. No published figure exists for those segments.</t>
  </si>
  <si>
    <t xml:space="preserve">No allowance for a failed security review, a lost integration, or a regulatory reversal — all of which have precedent.</t>
  </si>
  <si>
    <t xml:space="preserve">A lifetime-value-to-acquisition-cost ratio above about 5x almost always means the churn or acquisition-cost assumption is too kind. Treat the figure on the Unit Economics tab as an upper bound.</t>
  </si>
  <si>
    <t xml:space="preserve">Enduring agreements cut the number of agreements while increasing post-claim notice volume. Pricing per practitioner rather than per agreement is what keeps those two forces from working against you.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</si>
</sst>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#,##0;\(#,##0\);\-"/>
    <numFmt numFmtId="167" formatCode="0.0"/>
    <numFmt numFmtId="168" formatCode="\$#,##0;&quot;($&quot;#,##0\);\-"/>
    <numFmt numFmtId="169" formatCode="0.0%"/>
    <numFmt numFmtId="170" formatCode="\$#,##0.00;&quot;($&quot;#,##0.00\);\-"/>
    <numFmt numFmtId="171" formatCode="0.0\x"/>
    <numFmt numFmtId="172" formatCode="\$#,##0;&quot;($&quot;#,##0\);\-"/>
    <numFmt numFmtId="173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3C49"/>
      <name val="Arial"/>
      <family val="0"/>
      <charset val="1"/>
    </font>
    <font>
      <i val="true"/>
      <sz val="9"/>
      <color rgb="FF5A6B72"/>
      <name val="Arial"/>
      <family val="0"/>
      <charset val="1"/>
    </font>
    <font>
      <i val="true"/>
      <sz val="8"/>
      <color rgb="FF5A6B72"/>
      <name val="Arial"/>
      <family val="0"/>
      <charset val="1"/>
    </font>
    <font>
      <b val="true"/>
      <sz val="10"/>
      <color rgb="FF0B3C4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B23A26"/>
      <name val="Arial"/>
      <family val="0"/>
      <charset val="1"/>
    </font>
    <font>
      <i val="true"/>
      <sz val="9"/>
      <color rgb="FF1C729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F3F5"/>
        <bgColor rgb="FFFFFFFF"/>
      </patternFill>
    </fill>
    <fill>
      <patternFill patternType="solid">
        <fgColor rgb="FF0B3C49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7293"/>
      <rgbColor rgb="FFC0C0C0"/>
      <rgbColor rgb="FF808080"/>
      <rgbColor rgb="FF9999FF"/>
      <rgbColor rgb="FF993366"/>
      <rgbColor rgb="FFEEF3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2"/>
      <rgbColor rgb="FF969696"/>
      <rgbColor rgb="FF0B3C49"/>
      <rgbColor rgb="FF339966"/>
      <rgbColor rgb="FF003300"/>
      <rgbColor rgb="FF333300"/>
      <rgbColor rgb="FFB23A2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7" min="2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5" hidden="false" customHeight="true" outlineLevel="0" collapsed="false">
      <c r="A4" s="5" t="s">
        <v>3</v>
      </c>
      <c r="B4" s="6" t="n">
        <v>4</v>
      </c>
      <c r="D4" s="4" t="s">
        <v>4</v>
      </c>
    </row>
    <row r="5" customFormat="false" ht="15" hidden="false" customHeight="true" outlineLevel="0" collapsed="false">
      <c r="A5" s="7" t="s">
        <v>5</v>
      </c>
    </row>
    <row r="6" customFormat="false" ht="15" hidden="false" customHeight="true" outlineLevel="0" collapsed="false">
      <c r="A6" s="8" t="s">
        <v>6</v>
      </c>
      <c r="B6" s="9" t="n">
        <v>7132</v>
      </c>
      <c r="D6" s="4" t="s">
        <v>7</v>
      </c>
    </row>
    <row r="7" customFormat="false" ht="15" hidden="false" customHeight="true" outlineLevel="0" collapsed="false">
      <c r="A7" s="8" t="s">
        <v>8</v>
      </c>
      <c r="B7" s="10" t="n">
        <v>5</v>
      </c>
      <c r="D7" s="4" t="s">
        <v>9</v>
      </c>
    </row>
    <row r="8" customFormat="false" ht="15" hidden="false" customHeight="true" outlineLevel="0" collapsed="false">
      <c r="A8" s="8" t="s">
        <v>10</v>
      </c>
      <c r="B8" s="9" t="n">
        <v>12000</v>
      </c>
      <c r="D8" s="4" t="s">
        <v>11</v>
      </c>
    </row>
    <row r="9" customFormat="false" ht="15" hidden="false" customHeight="true" outlineLevel="0" collapsed="false">
      <c r="A9" s="8" t="s">
        <v>12</v>
      </c>
      <c r="B9" s="10" t="n">
        <v>2.5</v>
      </c>
      <c r="D9" s="4" t="s">
        <v>13</v>
      </c>
    </row>
    <row r="11" customFormat="false" ht="15" hidden="false" customHeight="true" outlineLevel="0" collapsed="false">
      <c r="A11" s="7" t="s">
        <v>14</v>
      </c>
    </row>
    <row r="12" customFormat="false" ht="15" hidden="false" customHeight="true" outlineLevel="0" collapsed="false">
      <c r="A12" s="8" t="s">
        <v>15</v>
      </c>
      <c r="B12" s="11" t="n">
        <f aca="false">INDEX(B53:E53,$B$4)</f>
        <v>49</v>
      </c>
      <c r="D12" s="4" t="s">
        <v>16</v>
      </c>
    </row>
    <row r="13" customFormat="false" ht="15" hidden="false" customHeight="true" outlineLevel="0" collapsed="false">
      <c r="A13" s="8" t="s">
        <v>17</v>
      </c>
      <c r="B13" s="11" t="n">
        <f aca="false">INDEX(B54:E54,$B$4)</f>
        <v>29</v>
      </c>
      <c r="D13" s="4" t="s">
        <v>18</v>
      </c>
    </row>
    <row r="14" customFormat="false" ht="15" hidden="false" customHeight="true" outlineLevel="0" collapsed="false">
      <c r="A14" s="8" t="s">
        <v>19</v>
      </c>
      <c r="B14" s="11" t="n">
        <f aca="false">INDEX(B55:E55,$B$4)</f>
        <v>400</v>
      </c>
      <c r="D14" s="4" t="s">
        <v>20</v>
      </c>
    </row>
    <row r="15" customFormat="false" ht="15" hidden="false" customHeight="true" outlineLevel="0" collapsed="false">
      <c r="A15" s="8" t="s">
        <v>21</v>
      </c>
      <c r="B15" s="12" t="n">
        <f aca="false">INDEX(B56:E56,$B$4)</f>
        <v>0.55</v>
      </c>
      <c r="D15" s="4" t="s">
        <v>22</v>
      </c>
    </row>
    <row r="16" customFormat="false" ht="15" hidden="false" customHeight="true" outlineLevel="0" collapsed="false">
      <c r="A16" s="8" t="s">
        <v>23</v>
      </c>
      <c r="B16" s="13" t="n">
        <v>2</v>
      </c>
      <c r="D16" s="4" t="s">
        <v>24</v>
      </c>
    </row>
    <row r="17" customFormat="false" ht="15" hidden="false" customHeight="true" outlineLevel="0" collapsed="false">
      <c r="A17" s="8" t="s">
        <v>25</v>
      </c>
      <c r="B17" s="9" t="n">
        <v>1500</v>
      </c>
      <c r="D17" s="4" t="s">
        <v>26</v>
      </c>
    </row>
    <row r="18" customFormat="false" ht="15" hidden="false" customHeight="true" outlineLevel="0" collapsed="false">
      <c r="A18" s="8" t="s">
        <v>27</v>
      </c>
      <c r="B18" s="14" t="n">
        <v>2500</v>
      </c>
      <c r="D18" s="4" t="s">
        <v>28</v>
      </c>
    </row>
    <row r="19" customFormat="false" ht="15" hidden="false" customHeight="true" outlineLevel="0" collapsed="false">
      <c r="A19" s="8" t="s">
        <v>29</v>
      </c>
      <c r="B19" s="15" t="n">
        <v>0.03</v>
      </c>
      <c r="D19" s="4" t="s">
        <v>22</v>
      </c>
    </row>
    <row r="20" customFormat="false" ht="15" hidden="false" customHeight="true" outlineLevel="0" collapsed="false">
      <c r="A20" s="8" t="s">
        <v>30</v>
      </c>
      <c r="B20" s="14" t="n">
        <v>199</v>
      </c>
      <c r="D20" s="4" t="s">
        <v>31</v>
      </c>
    </row>
    <row r="21" customFormat="false" ht="15" hidden="false" customHeight="true" outlineLevel="0" collapsed="false">
      <c r="A21" s="8" t="s">
        <v>32</v>
      </c>
      <c r="B21" s="10" t="n">
        <v>1.5</v>
      </c>
      <c r="D21" s="4" t="s">
        <v>33</v>
      </c>
    </row>
    <row r="23" customFormat="false" ht="15" hidden="false" customHeight="true" outlineLevel="0" collapsed="false">
      <c r="A23" s="7" t="s">
        <v>34</v>
      </c>
    </row>
    <row r="24" customFormat="false" ht="15" hidden="false" customHeight="true" outlineLevel="0" collapsed="false">
      <c r="A24" s="16" t="s">
        <v>35</v>
      </c>
      <c r="B24" s="17" t="s">
        <v>36</v>
      </c>
      <c r="C24" s="17" t="s">
        <v>37</v>
      </c>
      <c r="D24" s="17" t="s">
        <v>38</v>
      </c>
      <c r="E24" s="17" t="s">
        <v>39</v>
      </c>
      <c r="F24" s="17" t="s">
        <v>40</v>
      </c>
    </row>
    <row r="25" customFormat="false" ht="15" hidden="false" customHeight="true" outlineLevel="0" collapsed="false">
      <c r="A25" s="8" t="s">
        <v>41</v>
      </c>
      <c r="B25" s="18" t="n">
        <f aca="false">INDEX(B57:E57,$B$4)</f>
        <v>60</v>
      </c>
      <c r="C25" s="18" t="n">
        <f aca="false">INDEX(B58:E58,$B$4)</f>
        <v>300</v>
      </c>
      <c r="D25" s="18" t="n">
        <f aca="false">INDEX(B59:E59,$B$4)</f>
        <v>700</v>
      </c>
      <c r="E25" s="18" t="n">
        <f aca="false">INDEX(B60:E60,$B$4)</f>
        <v>950</v>
      </c>
      <c r="F25" s="18" t="n">
        <f aca="false">INDEX(B61:E61,$B$4)</f>
        <v>1100</v>
      </c>
    </row>
    <row r="26" customFormat="false" ht="15" hidden="false" customHeight="true" outlineLevel="0" collapsed="false">
      <c r="A26" s="8" t="s">
        <v>42</v>
      </c>
      <c r="B26" s="18" t="n">
        <f aca="false">INDEX(B62:E62,$B$4)</f>
        <v>20</v>
      </c>
      <c r="C26" s="18" t="n">
        <f aca="false">INDEX(B63:E63,$B$4)</f>
        <v>150</v>
      </c>
      <c r="D26" s="18" t="n">
        <f aca="false">INDEX(B64:E64,$B$4)</f>
        <v>450</v>
      </c>
      <c r="E26" s="18" t="n">
        <f aca="false">INDEX(B65:E65,$B$4)</f>
        <v>760</v>
      </c>
      <c r="F26" s="18" t="n">
        <f aca="false">INDEX(B66:E66,$B$4)</f>
        <v>1030</v>
      </c>
    </row>
    <row r="27" customFormat="false" ht="15" hidden="false" customHeight="true" outlineLevel="0" collapsed="false">
      <c r="A27" s="8" t="s">
        <v>43</v>
      </c>
      <c r="B27" s="15" t="n">
        <v>0.05</v>
      </c>
      <c r="C27" s="15" t="n">
        <v>0.08</v>
      </c>
      <c r="D27" s="15" t="n">
        <v>0.1</v>
      </c>
      <c r="E27" s="15" t="n">
        <v>0.1</v>
      </c>
      <c r="F27" s="15" t="n">
        <v>0.1</v>
      </c>
    </row>
    <row r="29" customFormat="false" ht="15" hidden="false" customHeight="true" outlineLevel="0" collapsed="false">
      <c r="A29" s="7" t="s">
        <v>44</v>
      </c>
    </row>
    <row r="30" customFormat="false" ht="15" hidden="false" customHeight="true" outlineLevel="0" collapsed="false">
      <c r="A30" s="8" t="s">
        <v>45</v>
      </c>
      <c r="B30" s="19" t="n">
        <v>3.5</v>
      </c>
      <c r="D30" s="4" t="s">
        <v>46</v>
      </c>
    </row>
    <row r="31" customFormat="false" ht="15" hidden="false" customHeight="true" outlineLevel="0" collapsed="false">
      <c r="A31" s="8" t="s">
        <v>47</v>
      </c>
      <c r="B31" s="15" t="n">
        <v>0.45</v>
      </c>
      <c r="D31" s="4" t="s">
        <v>48</v>
      </c>
    </row>
    <row r="32" customFormat="false" ht="15" hidden="false" customHeight="true" outlineLevel="0" collapsed="false">
      <c r="A32" s="8" t="s">
        <v>49</v>
      </c>
      <c r="B32" s="15" t="n">
        <v>0.25</v>
      </c>
      <c r="D32" s="4" t="s">
        <v>50</v>
      </c>
    </row>
    <row r="33" customFormat="false" ht="15" hidden="false" customHeight="true" outlineLevel="0" collapsed="false">
      <c r="A33" s="8" t="s">
        <v>51</v>
      </c>
      <c r="B33" s="15" t="n">
        <v>0.4</v>
      </c>
      <c r="D33" s="4" t="s">
        <v>52</v>
      </c>
    </row>
    <row r="35" customFormat="false" ht="15" hidden="false" customHeight="true" outlineLevel="0" collapsed="false">
      <c r="A35" s="7" t="s">
        <v>53</v>
      </c>
    </row>
    <row r="36" customFormat="false" ht="15" hidden="false" customHeight="true" outlineLevel="0" collapsed="false">
      <c r="A36" s="16" t="s">
        <v>54</v>
      </c>
      <c r="B36" s="17" t="s">
        <v>36</v>
      </c>
      <c r="C36" s="17" t="s">
        <v>37</v>
      </c>
      <c r="D36" s="17" t="s">
        <v>38</v>
      </c>
      <c r="E36" s="17" t="s">
        <v>39</v>
      </c>
      <c r="F36" s="17" t="s">
        <v>40</v>
      </c>
    </row>
    <row r="37" customFormat="false" ht="15" hidden="false" customHeight="true" outlineLevel="0" collapsed="false">
      <c r="A37" s="8" t="s">
        <v>55</v>
      </c>
      <c r="B37" s="18" t="n">
        <f aca="false">INDEX(B67:E67,$B$4)</f>
        <v>8</v>
      </c>
      <c r="C37" s="18" t="n">
        <f aca="false">INDEX(B68:E68,$B$4)</f>
        <v>16</v>
      </c>
      <c r="D37" s="18" t="n">
        <f aca="false">INDEX(B69:E69,$B$4)</f>
        <v>24</v>
      </c>
      <c r="E37" s="18" t="n">
        <f aca="false">INDEX(B70:E70,$B$4)</f>
        <v>30</v>
      </c>
      <c r="F37" s="18" t="n">
        <f aca="false">INDEX(B71:E71,$B$4)</f>
        <v>36</v>
      </c>
    </row>
    <row r="38" customFormat="false" ht="15" hidden="false" customHeight="true" outlineLevel="0" collapsed="false">
      <c r="A38" s="8" t="s">
        <v>56</v>
      </c>
      <c r="B38" s="14" t="n">
        <v>150000</v>
      </c>
      <c r="C38" s="14" t="n">
        <v>154500</v>
      </c>
      <c r="D38" s="14" t="n">
        <v>159135</v>
      </c>
      <c r="E38" s="14" t="n">
        <v>163909</v>
      </c>
      <c r="F38" s="14" t="n">
        <v>168826</v>
      </c>
    </row>
    <row r="39" customFormat="false" ht="15" hidden="false" customHeight="true" outlineLevel="0" collapsed="false">
      <c r="A39" s="8" t="s">
        <v>57</v>
      </c>
      <c r="B39" s="15" t="n">
        <v>0.3</v>
      </c>
      <c r="C39" s="15" t="n">
        <v>0.25</v>
      </c>
      <c r="D39" s="15" t="n">
        <v>0.2</v>
      </c>
      <c r="E39" s="15" t="n">
        <v>0.16</v>
      </c>
      <c r="F39" s="15" t="n">
        <v>0.14</v>
      </c>
    </row>
    <row r="40" customFormat="false" ht="15" hidden="false" customHeight="true" outlineLevel="0" collapsed="false">
      <c r="A40" s="8" t="s">
        <v>58</v>
      </c>
      <c r="B40" s="14" t="n">
        <v>350000</v>
      </c>
      <c r="C40" s="14" t="n">
        <v>600000</v>
      </c>
      <c r="D40" s="14" t="n">
        <v>900000</v>
      </c>
      <c r="E40" s="14" t="n">
        <v>1200000</v>
      </c>
      <c r="F40" s="14" t="n">
        <v>1400000</v>
      </c>
    </row>
    <row r="41" customFormat="false" ht="15" hidden="false" customHeight="true" outlineLevel="0" collapsed="false">
      <c r="A41" s="8" t="s">
        <v>59</v>
      </c>
      <c r="B41" s="14" t="n">
        <v>140000</v>
      </c>
      <c r="C41" s="14" t="n">
        <v>200000</v>
      </c>
      <c r="D41" s="14" t="n">
        <v>240000</v>
      </c>
      <c r="E41" s="14" t="n">
        <v>270000</v>
      </c>
      <c r="F41" s="14" t="n">
        <v>300000</v>
      </c>
    </row>
    <row r="42" customFormat="false" ht="15" hidden="false" customHeight="true" outlineLevel="0" collapsed="false">
      <c r="A42" s="8" t="s">
        <v>60</v>
      </c>
      <c r="B42" s="14" t="n">
        <v>9000</v>
      </c>
      <c r="C42" s="14" t="n">
        <v>9000</v>
      </c>
      <c r="D42" s="14" t="n">
        <v>9500</v>
      </c>
      <c r="E42" s="14" t="n">
        <v>9500</v>
      </c>
      <c r="F42" s="14" t="n">
        <v>10000</v>
      </c>
    </row>
    <row r="44" customFormat="false" ht="15" hidden="false" customHeight="true" outlineLevel="0" collapsed="false">
      <c r="A44" s="7" t="s">
        <v>61</v>
      </c>
    </row>
    <row r="45" customFormat="false" ht="15" hidden="false" customHeight="true" outlineLevel="0" collapsed="false">
      <c r="A45" s="8" t="s">
        <v>62</v>
      </c>
      <c r="B45" s="9" t="n">
        <v>30</v>
      </c>
      <c r="D45" s="4" t="s">
        <v>63</v>
      </c>
    </row>
    <row r="46" customFormat="false" ht="15" hidden="false" customHeight="true" outlineLevel="0" collapsed="false">
      <c r="A46" s="8" t="s">
        <v>64</v>
      </c>
      <c r="B46" s="9" t="n">
        <v>30</v>
      </c>
      <c r="D46" s="4" t="s">
        <v>22</v>
      </c>
    </row>
    <row r="47" customFormat="false" ht="15" hidden="false" customHeight="true" outlineLevel="0" collapsed="false">
      <c r="A47" s="8" t="s">
        <v>65</v>
      </c>
      <c r="B47" s="14" t="n">
        <v>0</v>
      </c>
      <c r="D47" s="4" t="s">
        <v>66</v>
      </c>
    </row>
    <row r="48" customFormat="false" ht="15" hidden="false" customHeight="true" outlineLevel="0" collapsed="false">
      <c r="A48" s="8" t="s">
        <v>67</v>
      </c>
      <c r="B48" s="14" t="n">
        <v>750000</v>
      </c>
      <c r="D48" s="4" t="s">
        <v>68</v>
      </c>
    </row>
    <row r="49" customFormat="false" ht="15" hidden="false" customHeight="true" outlineLevel="0" collapsed="false">
      <c r="A49" s="8" t="s">
        <v>69</v>
      </c>
      <c r="B49" s="14" t="n">
        <v>4000</v>
      </c>
      <c r="D49" s="4" t="s">
        <v>70</v>
      </c>
    </row>
    <row r="50" customFormat="false" ht="15" hidden="false" customHeight="true" outlineLevel="0" collapsed="false">
      <c r="A50" s="8" t="s">
        <v>71</v>
      </c>
      <c r="B50" s="9" t="n">
        <v>3</v>
      </c>
      <c r="D50" s="4" t="s">
        <v>72</v>
      </c>
    </row>
    <row r="51" customFormat="false" ht="15" hidden="false" customHeight="true" outlineLevel="0" collapsed="false">
      <c r="A51" s="8" t="s">
        <v>73</v>
      </c>
      <c r="B51" s="15" t="n">
        <v>0.25</v>
      </c>
      <c r="D51" s="4" t="s">
        <v>74</v>
      </c>
    </row>
    <row r="52" customFormat="false" ht="15" hidden="false" customHeight="true" outlineLevel="0" collapsed="false">
      <c r="A52" s="7" t="s">
        <v>75</v>
      </c>
      <c r="B52" s="17" t="s">
        <v>76</v>
      </c>
      <c r="C52" s="17" t="s">
        <v>77</v>
      </c>
      <c r="D52" s="17" t="s">
        <v>78</v>
      </c>
      <c r="E52" s="17" t="s">
        <v>79</v>
      </c>
    </row>
    <row r="53" customFormat="false" ht="15" hidden="false" customHeight="true" outlineLevel="0" collapsed="false">
      <c r="A53" s="8" t="s">
        <v>80</v>
      </c>
      <c r="B53" s="14" t="n">
        <v>39</v>
      </c>
      <c r="C53" s="14" t="n">
        <v>39</v>
      </c>
      <c r="D53" s="14" t="n">
        <v>39</v>
      </c>
      <c r="E53" s="14" t="n">
        <v>49</v>
      </c>
    </row>
    <row r="54" customFormat="false" ht="15" hidden="false" customHeight="true" outlineLevel="0" collapsed="false">
      <c r="A54" s="8" t="s">
        <v>81</v>
      </c>
      <c r="B54" s="14" t="n">
        <v>25</v>
      </c>
      <c r="C54" s="14" t="n">
        <v>25</v>
      </c>
      <c r="D54" s="14" t="n">
        <v>25</v>
      </c>
      <c r="E54" s="14" t="n">
        <v>29</v>
      </c>
    </row>
    <row r="55" customFormat="false" ht="15" hidden="false" customHeight="true" outlineLevel="0" collapsed="false">
      <c r="A55" s="8" t="s">
        <v>82</v>
      </c>
      <c r="B55" s="14" t="n">
        <v>350</v>
      </c>
      <c r="C55" s="14" t="n">
        <v>350</v>
      </c>
      <c r="D55" s="14" t="n">
        <v>350</v>
      </c>
      <c r="E55" s="14" t="n">
        <v>400</v>
      </c>
    </row>
    <row r="56" customFormat="false" ht="15" hidden="false" customHeight="true" outlineLevel="0" collapsed="false">
      <c r="A56" s="8" t="s">
        <v>83</v>
      </c>
      <c r="B56" s="15" t="n">
        <v>0.35</v>
      </c>
      <c r="C56" s="15" t="n">
        <v>0.35</v>
      </c>
      <c r="D56" s="15" t="n">
        <v>0.35</v>
      </c>
      <c r="E56" s="15" t="n">
        <v>0.55</v>
      </c>
    </row>
    <row r="57" customFormat="false" ht="15" hidden="false" customHeight="true" outlineLevel="0" collapsed="false">
      <c r="A57" s="8" t="s">
        <v>84</v>
      </c>
      <c r="B57" s="9" t="n">
        <v>45</v>
      </c>
      <c r="C57" s="9" t="n">
        <v>45</v>
      </c>
      <c r="D57" s="9" t="n">
        <v>60</v>
      </c>
      <c r="E57" s="9" t="n">
        <v>60</v>
      </c>
    </row>
    <row r="58" customFormat="false" ht="15" hidden="false" customHeight="true" outlineLevel="0" collapsed="false">
      <c r="A58" s="8" t="s">
        <v>85</v>
      </c>
      <c r="B58" s="9" t="n">
        <v>220</v>
      </c>
      <c r="C58" s="9" t="n">
        <v>220</v>
      </c>
      <c r="D58" s="9" t="n">
        <v>300</v>
      </c>
      <c r="E58" s="9" t="n">
        <v>300</v>
      </c>
    </row>
    <row r="59" customFormat="false" ht="15" hidden="false" customHeight="true" outlineLevel="0" collapsed="false">
      <c r="A59" s="8" t="s">
        <v>86</v>
      </c>
      <c r="B59" s="9" t="n">
        <v>520</v>
      </c>
      <c r="C59" s="9" t="n">
        <v>520</v>
      </c>
      <c r="D59" s="9" t="n">
        <v>700</v>
      </c>
      <c r="E59" s="9" t="n">
        <v>700</v>
      </c>
    </row>
    <row r="60" customFormat="false" ht="15" hidden="false" customHeight="true" outlineLevel="0" collapsed="false">
      <c r="A60" s="8" t="s">
        <v>87</v>
      </c>
      <c r="B60" s="9" t="n">
        <v>700</v>
      </c>
      <c r="C60" s="9" t="n">
        <v>700</v>
      </c>
      <c r="D60" s="9" t="n">
        <v>950</v>
      </c>
      <c r="E60" s="9" t="n">
        <v>950</v>
      </c>
    </row>
    <row r="61" customFormat="false" ht="15" hidden="false" customHeight="true" outlineLevel="0" collapsed="false">
      <c r="A61" s="8" t="s">
        <v>88</v>
      </c>
      <c r="B61" s="9" t="n">
        <v>800</v>
      </c>
      <c r="C61" s="9" t="n">
        <v>800</v>
      </c>
      <c r="D61" s="9" t="n">
        <v>1100</v>
      </c>
      <c r="E61" s="9" t="n">
        <v>1100</v>
      </c>
    </row>
    <row r="62" customFormat="false" ht="15" hidden="false" customHeight="true" outlineLevel="0" collapsed="false">
      <c r="A62" s="8" t="s">
        <v>89</v>
      </c>
      <c r="B62" s="9" t="n">
        <v>15</v>
      </c>
      <c r="C62" s="9" t="n">
        <v>15</v>
      </c>
      <c r="D62" s="9" t="n">
        <v>20</v>
      </c>
      <c r="E62" s="9" t="n">
        <v>20</v>
      </c>
    </row>
    <row r="63" customFormat="false" ht="15" hidden="false" customHeight="true" outlineLevel="0" collapsed="false">
      <c r="A63" s="8" t="s">
        <v>90</v>
      </c>
      <c r="B63" s="9" t="n">
        <v>110</v>
      </c>
      <c r="C63" s="9" t="n">
        <v>110</v>
      </c>
      <c r="D63" s="9" t="n">
        <v>150</v>
      </c>
      <c r="E63" s="9" t="n">
        <v>150</v>
      </c>
    </row>
    <row r="64" customFormat="false" ht="15" hidden="false" customHeight="true" outlineLevel="0" collapsed="false">
      <c r="A64" s="8" t="s">
        <v>91</v>
      </c>
      <c r="B64" s="9" t="n">
        <v>330</v>
      </c>
      <c r="C64" s="9" t="n">
        <v>330</v>
      </c>
      <c r="D64" s="9" t="n">
        <v>450</v>
      </c>
      <c r="E64" s="9" t="n">
        <v>450</v>
      </c>
    </row>
    <row r="65" customFormat="false" ht="15" hidden="false" customHeight="true" outlineLevel="0" collapsed="false">
      <c r="A65" s="8" t="s">
        <v>92</v>
      </c>
      <c r="B65" s="9" t="n">
        <v>560</v>
      </c>
      <c r="C65" s="9" t="n">
        <v>560</v>
      </c>
      <c r="D65" s="9" t="n">
        <v>760</v>
      </c>
      <c r="E65" s="9" t="n">
        <v>760</v>
      </c>
    </row>
    <row r="66" customFormat="false" ht="15" hidden="false" customHeight="true" outlineLevel="0" collapsed="false">
      <c r="A66" s="8" t="s">
        <v>93</v>
      </c>
      <c r="B66" s="9" t="n">
        <v>760</v>
      </c>
      <c r="C66" s="9" t="n">
        <v>760</v>
      </c>
      <c r="D66" s="9" t="n">
        <v>1030</v>
      </c>
      <c r="E66" s="9" t="n">
        <v>1030</v>
      </c>
    </row>
    <row r="67" customFormat="false" ht="15" hidden="false" customHeight="true" outlineLevel="0" collapsed="false">
      <c r="A67" s="8" t="s">
        <v>94</v>
      </c>
      <c r="B67" s="9" t="n">
        <v>9</v>
      </c>
      <c r="C67" s="9" t="n">
        <v>8</v>
      </c>
      <c r="D67" s="9" t="n">
        <v>8</v>
      </c>
      <c r="E67" s="9" t="n">
        <v>8</v>
      </c>
    </row>
    <row r="68" customFormat="false" ht="15" hidden="false" customHeight="true" outlineLevel="0" collapsed="false">
      <c r="A68" s="8" t="s">
        <v>95</v>
      </c>
      <c r="B68" s="9" t="n">
        <v>20</v>
      </c>
      <c r="C68" s="9" t="n">
        <v>16</v>
      </c>
      <c r="D68" s="9" t="n">
        <v>16</v>
      </c>
      <c r="E68" s="9" t="n">
        <v>16</v>
      </c>
    </row>
    <row r="69" customFormat="false" ht="15" hidden="false" customHeight="true" outlineLevel="0" collapsed="false">
      <c r="A69" s="8" t="s">
        <v>96</v>
      </c>
      <c r="B69" s="9" t="n">
        <v>36</v>
      </c>
      <c r="C69" s="9" t="n">
        <v>24</v>
      </c>
      <c r="D69" s="9" t="n">
        <v>24</v>
      </c>
      <c r="E69" s="9" t="n">
        <v>24</v>
      </c>
    </row>
    <row r="70" customFormat="false" ht="15" hidden="false" customHeight="true" outlineLevel="0" collapsed="false">
      <c r="A70" s="8" t="s">
        <v>97</v>
      </c>
      <c r="B70" s="9" t="n">
        <v>54</v>
      </c>
      <c r="C70" s="9" t="n">
        <v>30</v>
      </c>
      <c r="D70" s="9" t="n">
        <v>30</v>
      </c>
      <c r="E70" s="9" t="n">
        <v>30</v>
      </c>
    </row>
    <row r="71" customFormat="false" ht="15" hidden="false" customHeight="true" outlineLevel="0" collapsed="false">
      <c r="A71" s="8" t="s">
        <v>98</v>
      </c>
      <c r="B71" s="9" t="n">
        <v>70</v>
      </c>
      <c r="C71" s="9" t="n">
        <v>36</v>
      </c>
      <c r="D71" s="9" t="n">
        <v>36</v>
      </c>
      <c r="E71" s="9" t="n">
        <v>36</v>
      </c>
    </row>
    <row r="73" customFormat="false" ht="15" hidden="false" customHeight="true" outlineLevel="0" collapsed="false">
      <c r="A73" s="4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7" min="2" style="1" width="15"/>
  </cols>
  <sheetData>
    <row r="1" customFormat="false" ht="17.25" hidden="false" customHeight="true" outlineLevel="0" collapsed="false">
      <c r="A1" s="2" t="s">
        <v>100</v>
      </c>
    </row>
    <row r="2" customFormat="false" ht="15" hidden="false" customHeight="true" outlineLevel="0" collapsed="false">
      <c r="A2" s="3" t="s">
        <v>101</v>
      </c>
    </row>
    <row r="4" customFormat="false" ht="15" hidden="false" customHeight="true" outlineLevel="0" collapsed="false">
      <c r="A4" s="16" t="s">
        <v>54</v>
      </c>
      <c r="B4" s="17" t="s">
        <v>36</v>
      </c>
      <c r="C4" s="17" t="s">
        <v>37</v>
      </c>
      <c r="D4" s="17" t="s">
        <v>38</v>
      </c>
      <c r="E4" s="17" t="s">
        <v>39</v>
      </c>
      <c r="F4" s="17" t="s">
        <v>40</v>
      </c>
    </row>
    <row r="5" customFormat="false" ht="15" hidden="false" customHeight="true" outlineLevel="0" collapsed="false">
      <c r="A5" s="7" t="s">
        <v>102</v>
      </c>
    </row>
    <row r="6" customFormat="false" ht="15" hidden="false" customHeight="true" outlineLevel="0" collapsed="false">
      <c r="A6" s="8" t="s">
        <v>103</v>
      </c>
      <c r="B6" s="20" t="n">
        <f aca="false">0</f>
        <v>0</v>
      </c>
      <c r="C6" s="20" t="n">
        <f aca="false">B8</f>
        <v>57</v>
      </c>
      <c r="D6" s="20" t="n">
        <f aca="false">C8</f>
        <v>328.44</v>
      </c>
      <c r="E6" s="20" t="n">
        <f aca="false">D8</f>
        <v>925.596</v>
      </c>
      <c r="F6" s="20" t="n">
        <f aca="false">E8</f>
        <v>1688.0364</v>
      </c>
    </row>
    <row r="7" customFormat="false" ht="15" hidden="false" customHeight="true" outlineLevel="0" collapsed="false">
      <c r="A7" s="8" t="s">
        <v>104</v>
      </c>
      <c r="B7" s="21" t="n">
        <f aca="false">Assumptions!B25</f>
        <v>60</v>
      </c>
      <c r="C7" s="21" t="n">
        <f aca="false">Assumptions!C25</f>
        <v>300</v>
      </c>
      <c r="D7" s="21" t="n">
        <f aca="false">Assumptions!D25</f>
        <v>700</v>
      </c>
      <c r="E7" s="21" t="n">
        <f aca="false">Assumptions!E25</f>
        <v>950</v>
      </c>
      <c r="F7" s="21" t="n">
        <f aca="false">Assumptions!F25</f>
        <v>1100</v>
      </c>
    </row>
    <row r="8" customFormat="false" ht="15" hidden="false" customHeight="true" outlineLevel="0" collapsed="false">
      <c r="A8" s="22" t="s">
        <v>105</v>
      </c>
      <c r="B8" s="23" t="n">
        <f aca="false">(B6+B7)*(1-Assumptions!B27)</f>
        <v>57</v>
      </c>
      <c r="C8" s="23" t="n">
        <f aca="false">(C6+C7)*(1-Assumptions!C27)</f>
        <v>328.44</v>
      </c>
      <c r="D8" s="23" t="n">
        <f aca="false">(D6+D7)*(1-Assumptions!D27)</f>
        <v>925.596</v>
      </c>
      <c r="E8" s="23" t="n">
        <f aca="false">(E6+E7)*(1-Assumptions!E27)</f>
        <v>1688.0364</v>
      </c>
      <c r="F8" s="23" t="n">
        <f aca="false">(F6+F7)*(1-Assumptions!F27)</f>
        <v>2509.23276</v>
      </c>
    </row>
    <row r="9" customFormat="false" ht="15" hidden="false" customHeight="true" outlineLevel="0" collapsed="false">
      <c r="A9" s="8" t="s">
        <v>106</v>
      </c>
      <c r="B9" s="20" t="n">
        <f aca="false">0</f>
        <v>0</v>
      </c>
      <c r="C9" s="20" t="n">
        <f aca="false">B11</f>
        <v>19</v>
      </c>
      <c r="D9" s="20" t="n">
        <f aca="false">C11</f>
        <v>155.48</v>
      </c>
      <c r="E9" s="20" t="n">
        <f aca="false">D11</f>
        <v>544.932</v>
      </c>
      <c r="F9" s="20" t="n">
        <f aca="false">E11</f>
        <v>1174.4388</v>
      </c>
    </row>
    <row r="10" customFormat="false" ht="15" hidden="false" customHeight="true" outlineLevel="0" collapsed="false">
      <c r="A10" s="8" t="s">
        <v>107</v>
      </c>
      <c r="B10" s="21" t="n">
        <f aca="false">Assumptions!B26</f>
        <v>20</v>
      </c>
      <c r="C10" s="21" t="n">
        <f aca="false">Assumptions!C26</f>
        <v>150</v>
      </c>
      <c r="D10" s="21" t="n">
        <f aca="false">Assumptions!D26</f>
        <v>450</v>
      </c>
      <c r="E10" s="21" t="n">
        <f aca="false">Assumptions!E26</f>
        <v>760</v>
      </c>
      <c r="F10" s="21" t="n">
        <f aca="false">Assumptions!F26</f>
        <v>1030</v>
      </c>
    </row>
    <row r="11" customFormat="false" ht="15" hidden="false" customHeight="true" outlineLevel="0" collapsed="false">
      <c r="A11" s="22" t="s">
        <v>108</v>
      </c>
      <c r="B11" s="23" t="n">
        <f aca="false">(B9+B10)*(1-Assumptions!B27)</f>
        <v>19</v>
      </c>
      <c r="C11" s="23" t="n">
        <f aca="false">(C9+C10)*(1-Assumptions!C27)</f>
        <v>155.48</v>
      </c>
      <c r="D11" s="23" t="n">
        <f aca="false">(D9+D10)*(1-Assumptions!D27)</f>
        <v>544.932</v>
      </c>
      <c r="E11" s="23" t="n">
        <f aca="false">(E9+E10)*(1-Assumptions!E27)</f>
        <v>1174.4388</v>
      </c>
      <c r="F11" s="23" t="n">
        <f aca="false">(F9+F10)*(1-Assumptions!F27)</f>
        <v>1983.99492</v>
      </c>
    </row>
    <row r="12" customFormat="false" ht="15" hidden="false" customHeight="true" outlineLevel="0" collapsed="false">
      <c r="A12" s="8" t="s">
        <v>109</v>
      </c>
      <c r="B12" s="20" t="n">
        <f aca="false">(B6+B8)/2</f>
        <v>28.5</v>
      </c>
      <c r="C12" s="20" t="n">
        <f aca="false">(C6+C8)/2</f>
        <v>192.72</v>
      </c>
      <c r="D12" s="20" t="n">
        <f aca="false">(D6+D8)/2</f>
        <v>627.018</v>
      </c>
      <c r="E12" s="20" t="n">
        <f aca="false">(E6+E8)/2</f>
        <v>1306.8162</v>
      </c>
      <c r="F12" s="20" t="n">
        <f aca="false">(F6+F8)/2</f>
        <v>2098.63458</v>
      </c>
    </row>
    <row r="13" customFormat="false" ht="15" hidden="false" customHeight="true" outlineLevel="0" collapsed="false">
      <c r="A13" s="8" t="s">
        <v>110</v>
      </c>
      <c r="B13" s="20" t="n">
        <f aca="false">(B9+B11)/2</f>
        <v>9.5</v>
      </c>
      <c r="C13" s="20" t="n">
        <f aca="false">(C9+C11)/2</f>
        <v>87.24</v>
      </c>
      <c r="D13" s="20" t="n">
        <f aca="false">(D9+D11)/2</f>
        <v>350.206</v>
      </c>
      <c r="E13" s="20" t="n">
        <f aca="false">(E9+E11)/2</f>
        <v>859.6854</v>
      </c>
      <c r="F13" s="20" t="n">
        <f aca="false">(F9+F11)/2</f>
        <v>1579.21686</v>
      </c>
    </row>
    <row r="14" customFormat="false" ht="15" hidden="false" customHeight="true" outlineLevel="0" collapsed="false">
      <c r="A14" s="22" t="s">
        <v>111</v>
      </c>
      <c r="B14" s="23" t="n">
        <f aca="false">B12*Assumptions!$B$7+B13*Assumptions!$B$9</f>
        <v>166.25</v>
      </c>
      <c r="C14" s="23" t="n">
        <f aca="false">C12*Assumptions!$B$7+C13*Assumptions!$B$9</f>
        <v>1181.7</v>
      </c>
      <c r="D14" s="23" t="n">
        <f aca="false">D12*Assumptions!$B$7+D13*Assumptions!$B$9</f>
        <v>4010.605</v>
      </c>
      <c r="E14" s="23" t="n">
        <f aca="false">E12*Assumptions!$B$7+E13*Assumptions!$B$9</f>
        <v>8683.2945</v>
      </c>
      <c r="F14" s="23" t="n">
        <f aca="false">F12*Assumptions!$B$7+F13*Assumptions!$B$9</f>
        <v>14441.21505</v>
      </c>
    </row>
    <row r="16" customFormat="false" ht="15" hidden="false" customHeight="true" outlineLevel="0" collapsed="false">
      <c r="A16" s="7" t="s">
        <v>112</v>
      </c>
    </row>
    <row r="17" customFormat="false" ht="15" hidden="false" customHeight="true" outlineLevel="0" collapsed="false">
      <c r="A17" s="8" t="s">
        <v>113</v>
      </c>
      <c r="B17" s="24" t="n">
        <f aca="false">B12*Assumptions!$B$7*Assumptions!$B$12*12</f>
        <v>83790</v>
      </c>
      <c r="C17" s="24" t="n">
        <f aca="false">C12*Assumptions!$B$7*Assumptions!$B$12*12</f>
        <v>566596.8</v>
      </c>
      <c r="D17" s="24" t="n">
        <f aca="false">D12*Assumptions!$B$7*Assumptions!$B$12*12</f>
        <v>1843432.92</v>
      </c>
      <c r="E17" s="24" t="n">
        <f aca="false">E12*Assumptions!$B$7*Assumptions!$B$12*12</f>
        <v>3842039.628</v>
      </c>
      <c r="F17" s="24" t="n">
        <f aca="false">F12*Assumptions!$B$7*Assumptions!$B$12*12</f>
        <v>6169985.6652</v>
      </c>
    </row>
    <row r="18" customFormat="false" ht="15" hidden="false" customHeight="true" outlineLevel="0" collapsed="false">
      <c r="A18" s="8" t="s">
        <v>114</v>
      </c>
      <c r="B18" s="24" t="n">
        <f aca="false">B13*Assumptions!$B$9*Assumptions!$B$13*12</f>
        <v>8265</v>
      </c>
      <c r="C18" s="24" t="n">
        <f aca="false">C13*Assumptions!$B$9*Assumptions!$B$13*12</f>
        <v>75898.8</v>
      </c>
      <c r="D18" s="24" t="n">
        <f aca="false">D13*Assumptions!$B$9*Assumptions!$B$13*12</f>
        <v>304679.22</v>
      </c>
      <c r="E18" s="24" t="n">
        <f aca="false">E13*Assumptions!$B$9*Assumptions!$B$13*12</f>
        <v>747926.298</v>
      </c>
      <c r="F18" s="24" t="n">
        <f aca="false">F13*Assumptions!$B$9*Assumptions!$B$13*12</f>
        <v>1373918.6682</v>
      </c>
    </row>
    <row r="19" customFormat="false" ht="15" hidden="false" customHeight="true" outlineLevel="0" collapsed="false">
      <c r="A19" s="8" t="s">
        <v>115</v>
      </c>
      <c r="B19" s="24" t="n">
        <f aca="false">B12*Assumptions!$B$15*Assumptions!$B$14*12</f>
        <v>75240</v>
      </c>
      <c r="C19" s="24" t="n">
        <f aca="false">C12*Assumptions!$B$15*Assumptions!$B$14*12</f>
        <v>508780.8</v>
      </c>
      <c r="D19" s="24" t="n">
        <f aca="false">D12*Assumptions!$B$15*Assumptions!$B$14*12</f>
        <v>1655327.52</v>
      </c>
      <c r="E19" s="24" t="n">
        <f aca="false">E12*Assumptions!$B$15*Assumptions!$B$14*12</f>
        <v>3449994.768</v>
      </c>
      <c r="F19" s="24" t="n">
        <f aca="false">F12*Assumptions!$B$15*Assumptions!$B$14*12</f>
        <v>5540395.2912</v>
      </c>
    </row>
    <row r="20" customFormat="false" ht="15" hidden="false" customHeight="true" outlineLevel="0" collapsed="false">
      <c r="A20" s="8" t="s">
        <v>116</v>
      </c>
      <c r="B20" s="24" t="n">
        <f aca="false">0</f>
        <v>0</v>
      </c>
      <c r="C20" s="24" t="n">
        <f aca="false">Assumptions!B25*Assumptions!$B$17*Assumptions!$B$16</f>
        <v>180000</v>
      </c>
      <c r="D20" s="24" t="n">
        <f aca="false">Assumptions!C25*Assumptions!$B$17*Assumptions!$B$16</f>
        <v>900000</v>
      </c>
      <c r="E20" s="24" t="n">
        <f aca="false">Assumptions!D25*Assumptions!$B$17*Assumptions!$B$16</f>
        <v>2100000</v>
      </c>
      <c r="F20" s="24" t="n">
        <f aca="false">Assumptions!E25*Assumptions!$B$17*Assumptions!$B$16</f>
        <v>2850000</v>
      </c>
    </row>
    <row r="21" customFormat="false" ht="15" hidden="false" customHeight="true" outlineLevel="0" collapsed="false">
      <c r="A21" s="8" t="s">
        <v>117</v>
      </c>
      <c r="B21" s="24" t="n">
        <f aca="false">(B12+B13)*Assumptions!$B$19*Assumptions!$B$18</f>
        <v>2850</v>
      </c>
      <c r="C21" s="24" t="n">
        <f aca="false">(C12+C13)*Assumptions!$B$19*Assumptions!$B$18</f>
        <v>20997</v>
      </c>
      <c r="D21" s="24" t="n">
        <f aca="false">(D12+D13)*Assumptions!$B$19*Assumptions!$B$18</f>
        <v>73291.8</v>
      </c>
      <c r="E21" s="24" t="n">
        <f aca="false">(E12+E13)*Assumptions!$B$19*Assumptions!$B$18</f>
        <v>162487.62</v>
      </c>
      <c r="F21" s="24" t="n">
        <f aca="false">(F12+F13)*Assumptions!$B$19*Assumptions!$B$18</f>
        <v>275838.858</v>
      </c>
    </row>
    <row r="22" customFormat="false" ht="15" hidden="false" customHeight="true" outlineLevel="0" collapsed="false">
      <c r="A22" s="8" t="s">
        <v>118</v>
      </c>
      <c r="B22" s="24" t="n">
        <f aca="false">(B12+B13)*Assumptions!$B$21*Assumptions!$B$20</f>
        <v>11343</v>
      </c>
      <c r="C22" s="24" t="n">
        <f aca="false">(C12+C13)*Assumptions!$B$21*Assumptions!$B$20</f>
        <v>83568.06</v>
      </c>
      <c r="D22" s="24" t="n">
        <f aca="false">(D12+D13)*Assumptions!$B$21*Assumptions!$B$20</f>
        <v>291701.364</v>
      </c>
      <c r="E22" s="24" t="n">
        <f aca="false">(E12+E13)*Assumptions!$B$21*Assumptions!$B$20</f>
        <v>646700.7276</v>
      </c>
      <c r="F22" s="24" t="n">
        <f aca="false">(F12+F13)*Assumptions!$B$21*Assumptions!$B$20</f>
        <v>1097838.65484</v>
      </c>
    </row>
    <row r="23" customFormat="false" ht="15" hidden="false" customHeight="true" outlineLevel="0" collapsed="false">
      <c r="A23" s="22" t="s">
        <v>119</v>
      </c>
      <c r="B23" s="25" t="n">
        <f aca="false">SUM(B17:B22)</f>
        <v>181488</v>
      </c>
      <c r="C23" s="25" t="n">
        <f aca="false">SUM(C17:C22)</f>
        <v>1435841.46</v>
      </c>
      <c r="D23" s="25" t="n">
        <f aca="false">SUM(D17:D22)</f>
        <v>5068432.824</v>
      </c>
      <c r="E23" s="25" t="n">
        <f aca="false">SUM(E17:E22)</f>
        <v>10949149.0416</v>
      </c>
      <c r="F23" s="25" t="n">
        <f aca="false">SUM(F17:F22)</f>
        <v>17307977.13744</v>
      </c>
    </row>
    <row r="24" customFormat="false" ht="15" hidden="false" customHeight="true" outlineLevel="0" collapsed="false">
      <c r="A24" s="8" t="s">
        <v>120</v>
      </c>
      <c r="B24" s="26" t="s">
        <v>121</v>
      </c>
      <c r="C24" s="26" t="n">
        <f aca="false">IFERROR(C23/B23-1,0)</f>
        <v>6.91149530547474</v>
      </c>
      <c r="D24" s="26" t="n">
        <f aca="false">IFERROR(D23/C23-1,0)</f>
        <v>2.52993903936999</v>
      </c>
      <c r="E24" s="26" t="n">
        <f aca="false">IFERROR(E23/D23-1,0)</f>
        <v>1.16026322569645</v>
      </c>
      <c r="F24" s="26" t="n">
        <f aca="false">IFERROR(F23/E23-1,0)</f>
        <v>0.580760027256948</v>
      </c>
    </row>
    <row r="26" customFormat="false" ht="15" hidden="false" customHeight="true" outlineLevel="0" collapsed="false">
      <c r="A26" s="7" t="s">
        <v>44</v>
      </c>
    </row>
    <row r="27" customFormat="false" ht="15" hidden="false" customHeight="true" outlineLevel="0" collapsed="false">
      <c r="A27" s="8" t="s">
        <v>122</v>
      </c>
      <c r="B27" s="24" t="n">
        <f aca="false">-B14*Assumptions!$B$30*12</f>
        <v>-6982.5</v>
      </c>
      <c r="C27" s="24" t="n">
        <f aca="false">-C14*Assumptions!$B$30*12</f>
        <v>-49631.4</v>
      </c>
      <c r="D27" s="24" t="n">
        <f aca="false">-D14*Assumptions!$B$30*12</f>
        <v>-168445.41</v>
      </c>
      <c r="E27" s="24" t="n">
        <f aca="false">-E14*Assumptions!$B$30*12</f>
        <v>-364698.369</v>
      </c>
      <c r="F27" s="24" t="n">
        <f aca="false">-F14*Assumptions!$B$30*12</f>
        <v>-606531.0321</v>
      </c>
    </row>
    <row r="28" customFormat="false" ht="15" hidden="false" customHeight="true" outlineLevel="0" collapsed="false">
      <c r="A28" s="8" t="s">
        <v>123</v>
      </c>
      <c r="B28" s="24" t="n">
        <f aca="false">-B19*Assumptions!$B$31</f>
        <v>-33858</v>
      </c>
      <c r="C28" s="24" t="n">
        <f aca="false">-C19*Assumptions!$B$31</f>
        <v>-228951.36</v>
      </c>
      <c r="D28" s="24" t="n">
        <f aca="false">-D19*Assumptions!$B$31</f>
        <v>-744897.384</v>
      </c>
      <c r="E28" s="24" t="n">
        <f aca="false">-E19*Assumptions!$B$31</f>
        <v>-1552497.6456</v>
      </c>
      <c r="F28" s="24" t="n">
        <f aca="false">-F19*Assumptions!$B$31</f>
        <v>-2493177.88104</v>
      </c>
    </row>
    <row r="29" customFormat="false" ht="15" hidden="false" customHeight="true" outlineLevel="0" collapsed="false">
      <c r="A29" s="8" t="s">
        <v>124</v>
      </c>
      <c r="B29" s="24" t="n">
        <f aca="false">-B20*Assumptions!$B$32</f>
        <v>-0</v>
      </c>
      <c r="C29" s="24" t="n">
        <f aca="false">-C20*Assumptions!$B$32</f>
        <v>-45000</v>
      </c>
      <c r="D29" s="24" t="n">
        <f aca="false">-D20*Assumptions!$B$32</f>
        <v>-225000</v>
      </c>
      <c r="E29" s="24" t="n">
        <f aca="false">-E20*Assumptions!$B$32</f>
        <v>-525000</v>
      </c>
      <c r="F29" s="24" t="n">
        <f aca="false">-F20*Assumptions!$B$32</f>
        <v>-712500</v>
      </c>
    </row>
    <row r="30" customFormat="false" ht="15" hidden="false" customHeight="true" outlineLevel="0" collapsed="false">
      <c r="A30" s="8" t="s">
        <v>125</v>
      </c>
      <c r="B30" s="24" t="n">
        <f aca="false">-B21*Assumptions!$B$33</f>
        <v>-1140</v>
      </c>
      <c r="C30" s="24" t="n">
        <f aca="false">-C21*Assumptions!$B$33</f>
        <v>-8398.8</v>
      </c>
      <c r="D30" s="24" t="n">
        <f aca="false">-D21*Assumptions!$B$33</f>
        <v>-29316.72</v>
      </c>
      <c r="E30" s="24" t="n">
        <f aca="false">-E21*Assumptions!$B$33</f>
        <v>-64995.048</v>
      </c>
      <c r="F30" s="24" t="n">
        <f aca="false">-F21*Assumptions!$B$33</f>
        <v>-110335.5432</v>
      </c>
    </row>
    <row r="31" customFormat="false" ht="15" hidden="false" customHeight="true" outlineLevel="0" collapsed="false">
      <c r="A31" s="8" t="s">
        <v>126</v>
      </c>
      <c r="B31" s="24" t="n">
        <f aca="false">-B22*0.25</f>
        <v>-2835.75</v>
      </c>
      <c r="C31" s="24" t="n">
        <f aca="false">-C22*0.25</f>
        <v>-20892.015</v>
      </c>
      <c r="D31" s="24" t="n">
        <f aca="false">-D22*0.25</f>
        <v>-72925.341</v>
      </c>
      <c r="E31" s="24" t="n">
        <f aca="false">-E22*0.25</f>
        <v>-161675.1819</v>
      </c>
      <c r="F31" s="24" t="n">
        <f aca="false">-F22*0.25</f>
        <v>-274459.66371</v>
      </c>
    </row>
    <row r="32" customFormat="false" ht="15" hidden="false" customHeight="true" outlineLevel="0" collapsed="false">
      <c r="A32" s="22" t="s">
        <v>127</v>
      </c>
      <c r="B32" s="25" t="n">
        <f aca="false">SUM(B27:B31)</f>
        <v>-44816.25</v>
      </c>
      <c r="C32" s="25" t="n">
        <f aca="false">SUM(C27:C31)</f>
        <v>-352873.575</v>
      </c>
      <c r="D32" s="25" t="n">
        <f aca="false">SUM(D27:D31)</f>
        <v>-1240584.855</v>
      </c>
      <c r="E32" s="25" t="n">
        <f aca="false">SUM(E27:E31)</f>
        <v>-2668866.2445</v>
      </c>
      <c r="F32" s="25" t="n">
        <f aca="false">SUM(F27:F31)</f>
        <v>-4197004.12005</v>
      </c>
    </row>
    <row r="33" customFormat="false" ht="15" hidden="false" customHeight="true" outlineLevel="0" collapsed="false">
      <c r="A33" s="22" t="s">
        <v>128</v>
      </c>
      <c r="B33" s="25" t="n">
        <f aca="false">B23+B32</f>
        <v>136671.75</v>
      </c>
      <c r="C33" s="25" t="n">
        <f aca="false">C23+C32</f>
        <v>1082967.885</v>
      </c>
      <c r="D33" s="25" t="n">
        <f aca="false">D23+D32</f>
        <v>3827847.969</v>
      </c>
      <c r="E33" s="25" t="n">
        <f aca="false">E23+E32</f>
        <v>8280282.7971</v>
      </c>
      <c r="F33" s="25" t="n">
        <f aca="false">F23+F32</f>
        <v>13110973.01739</v>
      </c>
    </row>
    <row r="34" customFormat="false" ht="15" hidden="false" customHeight="true" outlineLevel="0" collapsed="false">
      <c r="A34" s="22" t="s">
        <v>129</v>
      </c>
      <c r="B34" s="27" t="n">
        <f aca="false">IFERROR(B33/B23,0)</f>
        <v>0.753062185929648</v>
      </c>
      <c r="C34" s="27" t="n">
        <f aca="false">IFERROR(C33/C23,0)</f>
        <v>0.754239179721137</v>
      </c>
      <c r="D34" s="27" t="n">
        <f aca="false">IFERROR(D33/D23,0)</f>
        <v>0.755233047752829</v>
      </c>
      <c r="E34" s="27" t="n">
        <f aca="false">IFERROR(E33/E23,0)</f>
        <v>0.75624898023034</v>
      </c>
      <c r="F34" s="27" t="n">
        <f aca="false">IFERROR(F33/F23,0)</f>
        <v>0.757510419229109</v>
      </c>
    </row>
    <row r="36" customFormat="false" ht="15" hidden="false" customHeight="true" outlineLevel="0" collapsed="false">
      <c r="A36" s="7" t="s">
        <v>53</v>
      </c>
    </row>
    <row r="37" customFormat="false" ht="15" hidden="false" customHeight="true" outlineLevel="0" collapsed="false">
      <c r="A37" s="8" t="s">
        <v>130</v>
      </c>
      <c r="B37" s="24" t="n">
        <f aca="false">-Assumptions!B37*Assumptions!B38</f>
        <v>-1200000</v>
      </c>
      <c r="C37" s="24" t="n">
        <f aca="false">-Assumptions!C37*Assumptions!C38</f>
        <v>-2472000</v>
      </c>
      <c r="D37" s="24" t="n">
        <f aca="false">-Assumptions!D37*Assumptions!D38</f>
        <v>-3819240</v>
      </c>
      <c r="E37" s="24" t="n">
        <f aca="false">-Assumptions!E37*Assumptions!E38</f>
        <v>-4917270</v>
      </c>
      <c r="F37" s="24" t="n">
        <f aca="false">-Assumptions!F37*Assumptions!F38</f>
        <v>-6077736</v>
      </c>
    </row>
    <row r="38" customFormat="false" ht="15" hidden="false" customHeight="true" outlineLevel="0" collapsed="false">
      <c r="A38" s="8" t="s">
        <v>131</v>
      </c>
      <c r="B38" s="24" t="n">
        <f aca="false">-MAX(B23*Assumptions!B39,Assumptions!B40)</f>
        <v>-350000</v>
      </c>
      <c r="C38" s="24" t="n">
        <f aca="false">-MAX(C23*Assumptions!C39,Assumptions!C40)</f>
        <v>-600000</v>
      </c>
      <c r="D38" s="24" t="n">
        <f aca="false">-MAX(D23*Assumptions!D39,Assumptions!D40)</f>
        <v>-1013686.5648</v>
      </c>
      <c r="E38" s="24" t="n">
        <f aca="false">-MAX(E23*Assumptions!E39,Assumptions!E40)</f>
        <v>-1751863.846656</v>
      </c>
      <c r="F38" s="24" t="n">
        <f aca="false">-MAX(F23*Assumptions!F39,Assumptions!F40)</f>
        <v>-2423116.7992416</v>
      </c>
    </row>
    <row r="39" customFormat="false" ht="15" hidden="false" customHeight="true" outlineLevel="0" collapsed="false">
      <c r="A39" s="8" t="s">
        <v>132</v>
      </c>
      <c r="B39" s="24" t="n">
        <f aca="false">-Assumptions!B41</f>
        <v>-140000</v>
      </c>
      <c r="C39" s="24" t="n">
        <f aca="false">-Assumptions!C41</f>
        <v>-200000</v>
      </c>
      <c r="D39" s="24" t="n">
        <f aca="false">-Assumptions!D41</f>
        <v>-240000</v>
      </c>
      <c r="E39" s="24" t="n">
        <f aca="false">-Assumptions!E41</f>
        <v>-270000</v>
      </c>
      <c r="F39" s="24" t="n">
        <f aca="false">-Assumptions!F41</f>
        <v>-300000</v>
      </c>
    </row>
    <row r="40" customFormat="false" ht="15" hidden="false" customHeight="true" outlineLevel="0" collapsed="false">
      <c r="A40" s="8" t="s">
        <v>133</v>
      </c>
      <c r="B40" s="24" t="n">
        <f aca="false">-Assumptions!B37*Assumptions!B42</f>
        <v>-72000</v>
      </c>
      <c r="C40" s="24" t="n">
        <f aca="false">-Assumptions!C37*Assumptions!C42</f>
        <v>-144000</v>
      </c>
      <c r="D40" s="24" t="n">
        <f aca="false">-Assumptions!D37*Assumptions!D42</f>
        <v>-228000</v>
      </c>
      <c r="E40" s="24" t="n">
        <f aca="false">-Assumptions!E37*Assumptions!E42</f>
        <v>-285000</v>
      </c>
      <c r="F40" s="24" t="n">
        <f aca="false">-Assumptions!F37*Assumptions!F42</f>
        <v>-360000</v>
      </c>
    </row>
    <row r="41" customFormat="false" ht="15" hidden="false" customHeight="true" outlineLevel="0" collapsed="false">
      <c r="A41" s="22" t="s">
        <v>134</v>
      </c>
      <c r="B41" s="25" t="n">
        <f aca="false">SUM(B37:B40)</f>
        <v>-1762000</v>
      </c>
      <c r="C41" s="25" t="n">
        <f aca="false">SUM(C37:C40)</f>
        <v>-3416000</v>
      </c>
      <c r="D41" s="25" t="n">
        <f aca="false">SUM(D37:D40)</f>
        <v>-5300926.5648</v>
      </c>
      <c r="E41" s="25" t="n">
        <f aca="false">SUM(E37:E40)</f>
        <v>-7224133.846656</v>
      </c>
      <c r="F41" s="25" t="n">
        <f aca="false">SUM(F37:F40)</f>
        <v>-9160852.7992416</v>
      </c>
    </row>
    <row r="42" customFormat="false" ht="15" hidden="false" customHeight="true" outlineLevel="0" collapsed="false">
      <c r="A42" s="22" t="s">
        <v>135</v>
      </c>
      <c r="B42" s="25" t="n">
        <f aca="false">B33+B41</f>
        <v>-1625328.25</v>
      </c>
      <c r="C42" s="25" t="n">
        <f aca="false">C33+C41</f>
        <v>-2333032.115</v>
      </c>
      <c r="D42" s="25" t="n">
        <f aca="false">D33+D41</f>
        <v>-1473078.5958</v>
      </c>
      <c r="E42" s="25" t="n">
        <f aca="false">E33+E41</f>
        <v>1056148.950444</v>
      </c>
      <c r="F42" s="25" t="n">
        <f aca="false">F33+F41</f>
        <v>3950120.2181484</v>
      </c>
    </row>
    <row r="43" customFormat="false" ht="15" hidden="false" customHeight="true" outlineLevel="0" collapsed="false">
      <c r="A43" s="8" t="s">
        <v>136</v>
      </c>
      <c r="B43" s="26" t="n">
        <f aca="false">IFERROR(B42/B23,0)</f>
        <v>-8.95556868773693</v>
      </c>
      <c r="C43" s="26" t="n">
        <f aca="false">IFERROR(C42/C23,0)</f>
        <v>-1.62485356496113</v>
      </c>
      <c r="D43" s="26" t="n">
        <f aca="false">IFERROR(D42/D23,0)</f>
        <v>-0.290637884914779</v>
      </c>
      <c r="E43" s="26" t="n">
        <f aca="false">IFERROR(E42/E23,0)</f>
        <v>0.0964594551075418</v>
      </c>
      <c r="F43" s="26" t="n">
        <f aca="false">IFERROR(F42/F23,0)</f>
        <v>0.228225412292904</v>
      </c>
    </row>
    <row r="45" customFormat="false" ht="15" hidden="false" customHeight="true" outlineLevel="0" collapsed="false">
      <c r="A45" s="7" t="s">
        <v>137</v>
      </c>
    </row>
    <row r="46" customFormat="false" ht="15" hidden="false" customHeight="true" outlineLevel="0" collapsed="false">
      <c r="A46" s="8" t="s">
        <v>138</v>
      </c>
      <c r="B46" s="24" t="n">
        <f aca="false">-Assumptions!B37*Assumptions!$B$49</f>
        <v>-32000</v>
      </c>
      <c r="C46" s="24" t="n">
        <f aca="false">-Assumptions!C37*Assumptions!$B$49</f>
        <v>-64000</v>
      </c>
      <c r="D46" s="24" t="n">
        <f aca="false">-Assumptions!D37*Assumptions!$B$49</f>
        <v>-96000</v>
      </c>
      <c r="E46" s="24" t="n">
        <f aca="false">-Assumptions!E37*Assumptions!$B$49</f>
        <v>-120000</v>
      </c>
      <c r="F46" s="24" t="n">
        <f aca="false">-Assumptions!F37*Assumptions!$B$49</f>
        <v>-144000</v>
      </c>
    </row>
    <row r="47" customFormat="false" ht="15" hidden="false" customHeight="true" outlineLevel="0" collapsed="false">
      <c r="A47" s="8" t="s">
        <v>139</v>
      </c>
      <c r="B47" s="24" t="n">
        <f aca="false">SUM(B46:B46)/Assumptions!$B$50</f>
        <v>-10666.6666666667</v>
      </c>
      <c r="C47" s="24" t="n">
        <f aca="false">SUM(B46:C46)/Assumptions!$B$50</f>
        <v>-32000</v>
      </c>
      <c r="D47" s="24" t="n">
        <f aca="false">SUM(B46:D46)/Assumptions!$B$50</f>
        <v>-64000</v>
      </c>
      <c r="E47" s="24" t="n">
        <f aca="false">SUM(C46:E46)/Assumptions!$B$50</f>
        <v>-93333.3333333333</v>
      </c>
      <c r="F47" s="24" t="n">
        <f aca="false">SUM(D46:F46)/Assumptions!$B$50</f>
        <v>-120000</v>
      </c>
    </row>
    <row r="48" customFormat="false" ht="15" hidden="false" customHeight="true" outlineLevel="0" collapsed="false">
      <c r="A48" s="22" t="s">
        <v>140</v>
      </c>
      <c r="B48" s="25" t="n">
        <f aca="false">B42+B47</f>
        <v>-1635994.91666667</v>
      </c>
      <c r="C48" s="25" t="n">
        <f aca="false">C42+C47</f>
        <v>-2365032.115</v>
      </c>
      <c r="D48" s="25" t="n">
        <f aca="false">D42+D47</f>
        <v>-1537078.5958</v>
      </c>
      <c r="E48" s="25" t="n">
        <f aca="false">E42+E47</f>
        <v>962815.617110667</v>
      </c>
      <c r="F48" s="25" t="n">
        <f aca="false">F42+F47</f>
        <v>3830120.2181484</v>
      </c>
    </row>
    <row r="49" customFormat="false" ht="15" hidden="false" customHeight="true" outlineLevel="0" collapsed="false">
      <c r="A49" s="8" t="s">
        <v>141</v>
      </c>
      <c r="B49" s="24" t="n">
        <f aca="false">0</f>
        <v>0</v>
      </c>
      <c r="C49" s="24" t="n">
        <f aca="false">0</f>
        <v>0</v>
      </c>
      <c r="D49" s="24" t="n">
        <f aca="false">0</f>
        <v>0</v>
      </c>
      <c r="E49" s="24" t="n">
        <f aca="false">0</f>
        <v>0</v>
      </c>
      <c r="F49" s="24" t="n">
        <f aca="false">0</f>
        <v>0</v>
      </c>
    </row>
    <row r="50" customFormat="false" ht="15" hidden="false" customHeight="true" outlineLevel="0" collapsed="false">
      <c r="A50" s="22" t="s">
        <v>142</v>
      </c>
      <c r="B50" s="25" t="n">
        <f aca="false">B48+B49</f>
        <v>-1635994.91666667</v>
      </c>
      <c r="C50" s="25" t="n">
        <f aca="false">C48+C49</f>
        <v>-2365032.115</v>
      </c>
      <c r="D50" s="25" t="n">
        <f aca="false">D48+D49</f>
        <v>-1537078.5958</v>
      </c>
      <c r="E50" s="25" t="n">
        <f aca="false">E48+E49</f>
        <v>962815.617110667</v>
      </c>
      <c r="F50" s="25" t="n">
        <f aca="false">F48+F49</f>
        <v>3830120.2181484</v>
      </c>
    </row>
    <row r="51" customFormat="false" ht="15" hidden="false" customHeight="true" outlineLevel="0" collapsed="false">
      <c r="A51" s="8" t="s">
        <v>143</v>
      </c>
      <c r="B51" s="24" t="n">
        <f aca="false">0</f>
        <v>0</v>
      </c>
      <c r="C51" s="24" t="n">
        <f aca="false">B54</f>
        <v>1635994.91666667</v>
      </c>
      <c r="D51" s="24" t="n">
        <f aca="false">C54</f>
        <v>4001027.03166667</v>
      </c>
      <c r="E51" s="24" t="n">
        <f aca="false">D54</f>
        <v>5538105.62746667</v>
      </c>
      <c r="F51" s="24" t="n">
        <f aca="false">E54</f>
        <v>4575290.010356</v>
      </c>
    </row>
    <row r="52" customFormat="false" ht="15" hidden="false" customHeight="true" outlineLevel="0" collapsed="false">
      <c r="A52" s="8" t="s">
        <v>144</v>
      </c>
      <c r="B52" s="24" t="n">
        <f aca="false">MIN(B51,MAX(0,B50))</f>
        <v>0</v>
      </c>
      <c r="C52" s="24" t="n">
        <f aca="false">MIN(C51,MAX(0,C50))</f>
        <v>0</v>
      </c>
      <c r="D52" s="24" t="n">
        <f aca="false">MIN(D51,MAX(0,D50))</f>
        <v>0</v>
      </c>
      <c r="E52" s="24" t="n">
        <f aca="false">MIN(E51,MAX(0,E50))</f>
        <v>962815.617110667</v>
      </c>
      <c r="F52" s="24" t="n">
        <f aca="false">MIN(F51,MAX(0,F50))</f>
        <v>3830120.2181484</v>
      </c>
    </row>
    <row r="53" customFormat="false" ht="15" hidden="false" customHeight="true" outlineLevel="0" collapsed="false">
      <c r="A53" s="8" t="s">
        <v>145</v>
      </c>
      <c r="B53" s="24" t="n">
        <f aca="false">MAX(0,B50-B52)</f>
        <v>0</v>
      </c>
      <c r="C53" s="24" t="n">
        <f aca="false">MAX(0,C50-C52)</f>
        <v>0</v>
      </c>
      <c r="D53" s="24" t="n">
        <f aca="false">MAX(0,D50-D52)</f>
        <v>0</v>
      </c>
      <c r="E53" s="24" t="n">
        <f aca="false">MAX(0,E50-E52)</f>
        <v>0</v>
      </c>
      <c r="F53" s="24" t="n">
        <f aca="false">MAX(0,F50-F52)</f>
        <v>0</v>
      </c>
    </row>
    <row r="54" customFormat="false" ht="15" hidden="false" customHeight="true" outlineLevel="0" collapsed="false">
      <c r="A54" s="8" t="s">
        <v>146</v>
      </c>
      <c r="B54" s="24" t="n">
        <f aca="false">B51-B52+MAX(0,-B50)</f>
        <v>1635994.91666667</v>
      </c>
      <c r="C54" s="24" t="n">
        <f aca="false">C51-C52+MAX(0,-C50)</f>
        <v>4001027.03166667</v>
      </c>
      <c r="D54" s="24" t="n">
        <f aca="false">D51-D52+MAX(0,-D50)</f>
        <v>5538105.62746667</v>
      </c>
      <c r="E54" s="24" t="n">
        <f aca="false">E51-E52+MAX(0,-E50)</f>
        <v>4575290.010356</v>
      </c>
      <c r="F54" s="24" t="n">
        <f aca="false">F51-F52+MAX(0,-F50)</f>
        <v>745169.792207601</v>
      </c>
    </row>
    <row r="55" customFormat="false" ht="15" hidden="false" customHeight="true" outlineLevel="0" collapsed="false">
      <c r="A55" s="8" t="s">
        <v>147</v>
      </c>
      <c r="B55" s="24" t="n">
        <f aca="false">-B53*Assumptions!$B$51</f>
        <v>-0</v>
      </c>
      <c r="C55" s="24" t="n">
        <f aca="false">-C53*Assumptions!$B$51</f>
        <v>-0</v>
      </c>
      <c r="D55" s="24" t="n">
        <f aca="false">-D53*Assumptions!$B$51</f>
        <v>-0</v>
      </c>
      <c r="E55" s="24" t="n">
        <f aca="false">-E53*Assumptions!$B$51</f>
        <v>-0</v>
      </c>
      <c r="F55" s="24" t="n">
        <f aca="false">-F53*Assumptions!$B$51</f>
        <v>-0</v>
      </c>
    </row>
    <row r="56" customFormat="false" ht="15" hidden="false" customHeight="true" outlineLevel="0" collapsed="false">
      <c r="A56" s="28" t="s">
        <v>148</v>
      </c>
      <c r="B56" s="29" t="n">
        <f aca="false">B50+B55</f>
        <v>-1635994.91666667</v>
      </c>
      <c r="C56" s="29" t="n">
        <f aca="false">C50+C55</f>
        <v>-2365032.115</v>
      </c>
      <c r="D56" s="29" t="n">
        <f aca="false">D50+D55</f>
        <v>-1537078.5958</v>
      </c>
      <c r="E56" s="29" t="n">
        <f aca="false">E50+E55</f>
        <v>962815.617110667</v>
      </c>
      <c r="F56" s="29" t="n">
        <f aca="false">F50+F55</f>
        <v>3830120.2181484</v>
      </c>
    </row>
    <row r="57" customFormat="false" ht="15" hidden="false" customHeight="true" outlineLevel="0" collapsed="false">
      <c r="A57" s="8" t="s">
        <v>149</v>
      </c>
      <c r="B57" s="26" t="n">
        <f aca="false">IFERROR(B56/B23,0)</f>
        <v>-9.01434208689647</v>
      </c>
      <c r="C57" s="26" t="n">
        <f aca="false">IFERROR(C56/C23,0)</f>
        <v>-1.64714014804949</v>
      </c>
      <c r="D57" s="26" t="n">
        <f aca="false">IFERROR(D56/D23,0)</f>
        <v>-0.303265062234156</v>
      </c>
      <c r="E57" s="26" t="n">
        <f aca="false">IFERROR(E56/E23,0)</f>
        <v>0.0879352005760961</v>
      </c>
      <c r="F57" s="26" t="n">
        <f aca="false">IFERROR(F56/F23,0)</f>
        <v>0.22129219305838</v>
      </c>
    </row>
    <row r="59" customFormat="false" ht="15" hidden="false" customHeight="true" outlineLevel="0" collapsed="false">
      <c r="A59" s="7" t="s">
        <v>150</v>
      </c>
    </row>
    <row r="60" customFormat="false" ht="15" hidden="false" customHeight="true" outlineLevel="0" collapsed="false">
      <c r="A60" s="8" t="s">
        <v>151</v>
      </c>
      <c r="B60" s="24" t="n">
        <f aca="false">-(B23-0)*Assumptions!$B$45/365</f>
        <v>-14916.8219178082</v>
      </c>
      <c r="C60" s="24" t="n">
        <f aca="false">-(C23-B23)*Assumptions!$B$45/365</f>
        <v>-103097.544657534</v>
      </c>
      <c r="D60" s="24" t="n">
        <f aca="false">-(D23-C23)*Assumptions!$B$45/365</f>
        <v>-298569.153205479</v>
      </c>
      <c r="E60" s="24" t="n">
        <f aca="false">-(E23-D23)*Assumptions!$B$45/365</f>
        <v>-483346.538432877</v>
      </c>
      <c r="F60" s="24" t="n">
        <f aca="false">-(F23-E23)*Assumptions!$B$45/365</f>
        <v>-522643.405137534</v>
      </c>
    </row>
    <row r="61" customFormat="false" ht="15" hidden="false" customHeight="true" outlineLevel="0" collapsed="false">
      <c r="A61" s="8" t="s">
        <v>152</v>
      </c>
      <c r="B61" s="24" t="n">
        <f aca="false">-(B32+B41-(0))*Assumptions!$B$46/365</f>
        <v>148505.445205479</v>
      </c>
      <c r="C61" s="24" t="n">
        <f aca="false">-(C32+C41-(B32+B41))*Assumptions!$B$46/365</f>
        <v>161264.985616438</v>
      </c>
      <c r="D61" s="24" t="n">
        <f aca="false">-(D32+D41-(C32+C41))*Assumptions!$B$46/365</f>
        <v>227888.042038356</v>
      </c>
      <c r="E61" s="24" t="n">
        <f aca="false">-(E32+E41-(D32+D41))*Assumptions!$B$46/365</f>
        <v>275464.822303233</v>
      </c>
      <c r="F61" s="24" t="n">
        <f aca="false">-(F32+F41-(E32+E41))*Assumptions!$B$46/365</f>
        <v>284782.752997447</v>
      </c>
    </row>
    <row r="62" customFormat="false" ht="15" hidden="false" customHeight="true" outlineLevel="0" collapsed="false">
      <c r="A62" s="8" t="s">
        <v>153</v>
      </c>
      <c r="B62" s="24" t="n">
        <f aca="false">-B47</f>
        <v>10666.6666666667</v>
      </c>
      <c r="C62" s="24" t="n">
        <f aca="false">-C47</f>
        <v>32000</v>
      </c>
      <c r="D62" s="24" t="n">
        <f aca="false">-D47</f>
        <v>64000</v>
      </c>
      <c r="E62" s="24" t="n">
        <f aca="false">-E47</f>
        <v>93333.3333333333</v>
      </c>
      <c r="F62" s="24" t="n">
        <f aca="false">-F47</f>
        <v>120000</v>
      </c>
    </row>
    <row r="63" customFormat="false" ht="15" hidden="false" customHeight="true" outlineLevel="0" collapsed="false">
      <c r="A63" s="8" t="s">
        <v>154</v>
      </c>
      <c r="B63" s="24" t="n">
        <f aca="false">B46</f>
        <v>-32000</v>
      </c>
      <c r="C63" s="24" t="n">
        <f aca="false">C46</f>
        <v>-64000</v>
      </c>
      <c r="D63" s="24" t="n">
        <f aca="false">D46</f>
        <v>-96000</v>
      </c>
      <c r="E63" s="24" t="n">
        <f aca="false">E46</f>
        <v>-120000</v>
      </c>
      <c r="F63" s="24" t="n">
        <f aca="false">F46</f>
        <v>-144000</v>
      </c>
    </row>
    <row r="64" customFormat="false" ht="15" hidden="false" customHeight="true" outlineLevel="0" collapsed="false">
      <c r="A64" s="22" t="s">
        <v>155</v>
      </c>
      <c r="B64" s="25" t="n">
        <f aca="false">B56+B62+B60+B61+B63</f>
        <v>-1523739.62671233</v>
      </c>
      <c r="C64" s="25" t="n">
        <f aca="false">C56+C62+C60+C61+C63</f>
        <v>-2338864.6740411</v>
      </c>
      <c r="D64" s="25" t="n">
        <f aca="false">D56+D62+D60+D61+D63</f>
        <v>-1639759.70696712</v>
      </c>
      <c r="E64" s="25" t="n">
        <f aca="false">E56+E62+E60+E61+E63</f>
        <v>728267.234314356</v>
      </c>
      <c r="F64" s="25" t="n">
        <f aca="false">F56+F62+F60+F61+F63</f>
        <v>3568259.56600831</v>
      </c>
    </row>
    <row r="65" customFormat="false" ht="15" hidden="false" customHeight="true" outlineLevel="0" collapsed="false">
      <c r="A65" s="8" t="s">
        <v>156</v>
      </c>
      <c r="B65" s="24" t="n">
        <f aca="false">Assumptions!$B$47</f>
        <v>0</v>
      </c>
      <c r="C65" s="24" t="n">
        <f aca="false">B66</f>
        <v>-1523739.62671233</v>
      </c>
      <c r="D65" s="24" t="n">
        <f aca="false">C66</f>
        <v>-3862604.30075342</v>
      </c>
      <c r="E65" s="24" t="n">
        <f aca="false">D66</f>
        <v>-5502364.00772055</v>
      </c>
      <c r="F65" s="24" t="n">
        <f aca="false">E66</f>
        <v>-4774096.77340619</v>
      </c>
    </row>
    <row r="66" customFormat="false" ht="15" hidden="false" customHeight="true" outlineLevel="0" collapsed="false">
      <c r="A66" s="22" t="s">
        <v>157</v>
      </c>
      <c r="B66" s="25" t="n">
        <f aca="false">B65+B64</f>
        <v>-1523739.62671233</v>
      </c>
      <c r="C66" s="25" t="n">
        <f aca="false">C65+C64</f>
        <v>-3862604.30075342</v>
      </c>
      <c r="D66" s="25" t="n">
        <f aca="false">D65+D64</f>
        <v>-5502364.00772055</v>
      </c>
      <c r="E66" s="25" t="n">
        <f aca="false">E65+E64</f>
        <v>-4774096.77340619</v>
      </c>
      <c r="F66" s="25" t="n">
        <f aca="false">F65+F64</f>
        <v>-1205837.20739788</v>
      </c>
    </row>
    <row r="68" customFormat="false" ht="15" hidden="false" customHeight="true" outlineLevel="0" collapsed="false">
      <c r="A68" s="7" t="s">
        <v>158</v>
      </c>
    </row>
    <row r="69" customFormat="false" ht="15" hidden="false" customHeight="true" outlineLevel="0" collapsed="false">
      <c r="A69" s="8" t="s">
        <v>159</v>
      </c>
      <c r="B69" s="25" t="n">
        <f aca="false">MIN(B66:F66)</f>
        <v>-5502364.00772055</v>
      </c>
    </row>
    <row r="70" customFormat="false" ht="15" hidden="false" customHeight="true" outlineLevel="0" collapsed="false">
      <c r="A70" s="8" t="s">
        <v>160</v>
      </c>
      <c r="B70" s="30" t="n">
        <f aca="false">-Assumptions!$B$48</f>
        <v>-750000</v>
      </c>
    </row>
    <row r="71" customFormat="false" ht="15" hidden="false" customHeight="true" outlineLevel="0" collapsed="false">
      <c r="A71" s="22" t="s">
        <v>161</v>
      </c>
      <c r="B71" s="29" t="n">
        <f aca="false">-MIN(0,B69+B70)</f>
        <v>6252364.00772055</v>
      </c>
    </row>
    <row r="73" customFormat="false" ht="15" hidden="false" customHeight="true" outlineLevel="0" collapsed="false">
      <c r="A73" s="31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163</v>
      </c>
    </row>
    <row r="2" customFormat="false" ht="15" hidden="false" customHeight="true" outlineLevel="0" collapsed="false">
      <c r="A2" s="3" t="s">
        <v>164</v>
      </c>
    </row>
    <row r="4" customFormat="false" ht="15" hidden="false" customHeight="true" outlineLevel="0" collapsed="false">
      <c r="A4" s="8" t="s">
        <v>165</v>
      </c>
      <c r="B4" s="32" t="n">
        <f aca="false">Assumptions!$B$7</f>
        <v>5</v>
      </c>
      <c r="D4" s="4" t="s">
        <v>166</v>
      </c>
    </row>
    <row r="5" customFormat="false" ht="15" hidden="false" customHeight="true" outlineLevel="0" collapsed="false">
      <c r="A5" s="8" t="s">
        <v>167</v>
      </c>
      <c r="B5" s="24" t="n">
        <f aca="false">B4*Assumptions!$B$12*12</f>
        <v>2940</v>
      </c>
      <c r="D5" s="4" t="s">
        <v>168</v>
      </c>
    </row>
    <row r="6" customFormat="false" ht="15" hidden="false" customHeight="true" outlineLevel="0" collapsed="false">
      <c r="A6" s="8" t="s">
        <v>169</v>
      </c>
      <c r="B6" s="24" t="n">
        <f aca="false">Assumptions!$B$14*12*Assumptions!$B$15</f>
        <v>2640</v>
      </c>
      <c r="D6" s="4" t="s">
        <v>170</v>
      </c>
    </row>
    <row r="7" customFormat="false" ht="15" hidden="false" customHeight="true" outlineLevel="0" collapsed="false">
      <c r="A7" s="8" t="s">
        <v>171</v>
      </c>
      <c r="B7" s="24" t="n">
        <f aca="false">Assumptions!$B$17*Assumptions!$B$16</f>
        <v>3000</v>
      </c>
      <c r="D7" s="4" t="s">
        <v>172</v>
      </c>
    </row>
    <row r="8" customFormat="false" ht="15" hidden="false" customHeight="true" outlineLevel="0" collapsed="false">
      <c r="A8" s="8" t="s">
        <v>173</v>
      </c>
      <c r="B8" s="24" t="n">
        <f aca="false">Assumptions!$B$18*Assumptions!$B$19</f>
        <v>75</v>
      </c>
      <c r="D8" s="4" t="s">
        <v>174</v>
      </c>
    </row>
    <row r="9" customFormat="false" ht="15" hidden="false" customHeight="true" outlineLevel="0" collapsed="false">
      <c r="A9" s="22" t="s">
        <v>175</v>
      </c>
      <c r="B9" s="29" t="n">
        <f aca="false">B5+B6+B8</f>
        <v>5655</v>
      </c>
      <c r="D9" s="4" t="s">
        <v>176</v>
      </c>
    </row>
    <row r="10" customFormat="false" ht="15" hidden="false" customHeight="true" outlineLevel="0" collapsed="false">
      <c r="A10" s="8" t="s">
        <v>177</v>
      </c>
      <c r="B10" s="24" t="n">
        <f aca="false">-(B4*Assumptions!$B$30*12 + Assumptions!$B$14*12*Assumptions!$B$15*Assumptions!$B$31 + Assumptions!$B$18*Assumptions!$B$19*Assumptions!$B$33)</f>
        <v>-1428</v>
      </c>
      <c r="D10" s="4" t="s">
        <v>178</v>
      </c>
    </row>
    <row r="11" customFormat="false" ht="15" hidden="false" customHeight="true" outlineLevel="0" collapsed="false">
      <c r="A11" s="8" t="s">
        <v>179</v>
      </c>
      <c r="B11" s="24" t="n">
        <f aca="false">B9+B10</f>
        <v>4227</v>
      </c>
      <c r="D11" s="4"/>
    </row>
    <row r="12" customFormat="false" ht="15" hidden="false" customHeight="true" outlineLevel="0" collapsed="false">
      <c r="A12" s="8" t="s">
        <v>129</v>
      </c>
      <c r="B12" s="26" t="n">
        <f aca="false">IFERROR(B11/B9,0)</f>
        <v>0.747480106100796</v>
      </c>
      <c r="D12" s="4"/>
    </row>
    <row r="13" customFormat="false" ht="15" hidden="false" customHeight="true" outlineLevel="0" collapsed="false">
      <c r="A13" s="8" t="s">
        <v>180</v>
      </c>
      <c r="B13" s="24" t="n">
        <f aca="false">IFERROR(-Model!C38/(Assumptions!C25+Assumptions!C26),0)</f>
        <v>1333.33333333333</v>
      </c>
      <c r="D13" s="4" t="s">
        <v>181</v>
      </c>
    </row>
    <row r="14" customFormat="false" ht="15" hidden="false" customHeight="true" outlineLevel="0" collapsed="false">
      <c r="A14" s="22" t="s">
        <v>182</v>
      </c>
      <c r="B14" s="33" t="n">
        <f aca="false">IFERROR(B13/(B11/12),0)</f>
        <v>3.78519044239413</v>
      </c>
      <c r="D14" s="4" t="s">
        <v>183</v>
      </c>
    </row>
    <row r="15" customFormat="false" ht="15" hidden="false" customHeight="true" outlineLevel="0" collapsed="false">
      <c r="A15" s="8" t="s">
        <v>184</v>
      </c>
      <c r="B15" s="32" t="n">
        <f aca="false">IFERROR(1/Assumptions!$D$27,0)</f>
        <v>10</v>
      </c>
      <c r="D15" s="4" t="s">
        <v>185</v>
      </c>
    </row>
    <row r="16" customFormat="false" ht="15" hidden="false" customHeight="true" outlineLevel="0" collapsed="false">
      <c r="A16" s="8" t="s">
        <v>186</v>
      </c>
      <c r="B16" s="24" t="n">
        <f aca="false">B11*B15</f>
        <v>42270</v>
      </c>
      <c r="D16" s="4"/>
    </row>
    <row r="17" customFormat="false" ht="15" hidden="false" customHeight="true" outlineLevel="0" collapsed="false">
      <c r="A17" s="22" t="s">
        <v>187</v>
      </c>
      <c r="B17" s="34" t="n">
        <f aca="false">IFERROR(B16/B13,0)</f>
        <v>31.7025</v>
      </c>
      <c r="D17" s="4" t="s">
        <v>188</v>
      </c>
    </row>
    <row r="20" customFormat="false" ht="15" hidden="false" customHeight="true" outlineLevel="0" collapsed="false">
      <c r="A20" s="22" t="s">
        <v>189</v>
      </c>
    </row>
    <row r="21" customFormat="false" ht="15" hidden="false" customHeight="true" outlineLevel="0" collapsed="false">
      <c r="A21" s="8" t="s">
        <v>190</v>
      </c>
      <c r="B21" s="14" t="n">
        <v>1400</v>
      </c>
      <c r="D21" s="4" t="s">
        <v>191</v>
      </c>
    </row>
    <row r="22" customFormat="false" ht="15" hidden="false" customHeight="true" outlineLevel="0" collapsed="false">
      <c r="A22" s="8" t="s">
        <v>192</v>
      </c>
      <c r="B22" s="24" t="n">
        <f aca="false">Assumptions!$B$12*12</f>
        <v>588</v>
      </c>
      <c r="D22" s="4"/>
    </row>
    <row r="23" customFormat="false" ht="15" hidden="false" customHeight="true" outlineLevel="0" collapsed="false">
      <c r="A23" s="8" t="s">
        <v>193</v>
      </c>
      <c r="B23" s="26" t="n">
        <f aca="false">IFERROR(B22/B21,0)</f>
        <v>0.42</v>
      </c>
      <c r="D23" s="4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5"/>
    <col collapsed="false" customWidth="true" hidden="false" outlineLevel="0" max="4" min="4" style="0" width="64"/>
    <col collapsed="false" customWidth="true" hidden="false" outlineLevel="0" max="7" min="5" style="0" width="15"/>
  </cols>
  <sheetData>
    <row r="1" customFormat="false" ht="17.35" hidden="false" customHeight="false" outlineLevel="0" collapsed="false">
      <c r="A1" s="35" t="s">
        <v>195</v>
      </c>
    </row>
    <row r="2" customFormat="false" ht="15" hidden="false" customHeight="false" outlineLevel="0" collapsed="false">
      <c r="A2" s="36" t="s">
        <v>196</v>
      </c>
    </row>
    <row r="4" customFormat="false" ht="15" hidden="false" customHeight="false" outlineLevel="0" collapsed="false">
      <c r="A4" s="37" t="s">
        <v>197</v>
      </c>
      <c r="B4" s="17" t="s">
        <v>36</v>
      </c>
      <c r="C4" s="17" t="s">
        <v>37</v>
      </c>
      <c r="D4" s="17" t="s">
        <v>38</v>
      </c>
      <c r="E4" s="17" t="s">
        <v>39</v>
      </c>
      <c r="F4" s="17" t="s">
        <v>40</v>
      </c>
    </row>
    <row r="5" customFormat="false" ht="15" hidden="false" customHeight="false" outlineLevel="0" collapsed="false">
      <c r="A5" s="38" t="s">
        <v>198</v>
      </c>
    </row>
    <row r="6" customFormat="false" ht="15" hidden="false" customHeight="false" outlineLevel="0" collapsed="false">
      <c r="A6" s="39" t="s">
        <v>199</v>
      </c>
    </row>
    <row r="7" customFormat="false" ht="15" hidden="false" customHeight="false" outlineLevel="0" collapsed="false">
      <c r="A7" s="40" t="s">
        <v>200</v>
      </c>
      <c r="B7" s="41" t="n">
        <v>97427</v>
      </c>
      <c r="C7" s="41" t="n">
        <v>802280</v>
      </c>
      <c r="D7" s="41" t="n">
        <v>2888498</v>
      </c>
      <c r="E7" s="41" t="n">
        <v>6312352</v>
      </c>
      <c r="F7" s="41" t="n">
        <v>9868338</v>
      </c>
    </row>
    <row r="8" customFormat="false" ht="15" hidden="false" customHeight="false" outlineLevel="0" collapsed="false">
      <c r="A8" s="42" t="s">
        <v>201</v>
      </c>
      <c r="B8" s="43" t="n">
        <v>-1845931</v>
      </c>
      <c r="C8" s="43" t="n">
        <v>-3453789</v>
      </c>
      <c r="D8" s="43" t="n">
        <v>-4993829</v>
      </c>
      <c r="E8" s="43" t="n">
        <v>-5987402</v>
      </c>
      <c r="F8" s="43" t="n">
        <v>-6625985</v>
      </c>
    </row>
    <row r="9" customFormat="false" ht="15" hidden="false" customHeight="false" outlineLevel="0" collapsed="false">
      <c r="A9" s="40" t="s">
        <v>202</v>
      </c>
      <c r="B9" s="41" t="n">
        <v>-12000</v>
      </c>
      <c r="C9" s="41" t="n">
        <v>-38667</v>
      </c>
      <c r="D9" s="41" t="n">
        <v>-86667</v>
      </c>
      <c r="E9" s="41" t="n">
        <v>-146667</v>
      </c>
      <c r="F9" s="41" t="n">
        <v>-213333</v>
      </c>
    </row>
    <row r="10" customFormat="false" ht="15" hidden="false" customHeight="false" outlineLevel="0" collapsed="false">
      <c r="A10" s="40" t="s">
        <v>203</v>
      </c>
      <c r="B10" s="41" t="n">
        <v>-1857931</v>
      </c>
      <c r="C10" s="41" t="n">
        <v>-3492456</v>
      </c>
      <c r="D10" s="41" t="n">
        <v>-5080496</v>
      </c>
      <c r="E10" s="41" t="n">
        <v>-6134069</v>
      </c>
      <c r="F10" s="41" t="n">
        <v>-6839318</v>
      </c>
    </row>
    <row r="11" customFormat="false" ht="15" hidden="false" customHeight="false" outlineLevel="0" collapsed="false">
      <c r="A11" s="40" t="s">
        <v>204</v>
      </c>
      <c r="B11" s="41" t="n">
        <v>0</v>
      </c>
      <c r="C11" s="41" t="n">
        <v>0</v>
      </c>
      <c r="D11" s="41" t="n">
        <v>0</v>
      </c>
      <c r="E11" s="41" t="n">
        <v>0</v>
      </c>
      <c r="F11" s="41" t="n">
        <v>0</v>
      </c>
    </row>
    <row r="12" customFormat="false" ht="15" hidden="false" customHeight="false" outlineLevel="0" collapsed="false">
      <c r="A12" s="42" t="s">
        <v>205</v>
      </c>
      <c r="B12" s="43" t="n">
        <v>-1857931</v>
      </c>
      <c r="C12" s="43" t="n">
        <v>-3492456</v>
      </c>
      <c r="D12" s="43" t="n">
        <v>-5080496</v>
      </c>
      <c r="E12" s="43" t="n">
        <v>-6134069</v>
      </c>
      <c r="F12" s="43" t="n">
        <v>-6839318</v>
      </c>
    </row>
    <row r="13" customFormat="false" ht="15" hidden="false" customHeight="false" outlineLevel="0" collapsed="false">
      <c r="A13" s="40" t="s">
        <v>206</v>
      </c>
      <c r="B13" s="41" t="n">
        <v>1857931</v>
      </c>
      <c r="C13" s="41" t="n">
        <v>5350387</v>
      </c>
      <c r="D13" s="41" t="n">
        <v>10430883</v>
      </c>
      <c r="E13" s="41" t="n">
        <v>16564952</v>
      </c>
      <c r="F13" s="41" t="n">
        <v>23404270</v>
      </c>
    </row>
    <row r="14" customFormat="false" ht="15" hidden="false" customHeight="false" outlineLevel="0" collapsed="false">
      <c r="A14" s="40" t="s">
        <v>207</v>
      </c>
      <c r="B14" s="41" t="n">
        <v>-1857931</v>
      </c>
      <c r="C14" s="41" t="n">
        <v>-5350387</v>
      </c>
      <c r="D14" s="41" t="n">
        <v>-10430883</v>
      </c>
      <c r="E14" s="41" t="n">
        <v>-16564952</v>
      </c>
      <c r="F14" s="41" t="n">
        <v>-23404270</v>
      </c>
    </row>
    <row r="16" customFormat="false" ht="15" hidden="false" customHeight="false" outlineLevel="0" collapsed="false">
      <c r="A16" s="38" t="s">
        <v>208</v>
      </c>
    </row>
    <row r="17" customFormat="false" ht="15" hidden="false" customHeight="false" outlineLevel="0" collapsed="false">
      <c r="A17" s="39" t="s">
        <v>209</v>
      </c>
    </row>
    <row r="18" customFormat="false" ht="15" hidden="false" customHeight="false" outlineLevel="0" collapsed="false">
      <c r="A18" s="40" t="s">
        <v>200</v>
      </c>
      <c r="B18" s="41" t="n">
        <v>97427</v>
      </c>
      <c r="C18" s="41" t="n">
        <v>802280</v>
      </c>
      <c r="D18" s="41" t="n">
        <v>2888498</v>
      </c>
      <c r="E18" s="41" t="n">
        <v>6312352</v>
      </c>
      <c r="F18" s="41" t="n">
        <v>9868338</v>
      </c>
    </row>
    <row r="19" customFormat="false" ht="15" hidden="false" customHeight="false" outlineLevel="0" collapsed="false">
      <c r="A19" s="42" t="s">
        <v>201</v>
      </c>
      <c r="B19" s="43" t="n">
        <v>-1686931</v>
      </c>
      <c r="C19" s="43" t="n">
        <v>-2799789</v>
      </c>
      <c r="D19" s="43" t="n">
        <v>-2970209</v>
      </c>
      <c r="E19" s="43" t="n">
        <v>-1825586</v>
      </c>
      <c r="F19" s="43" t="n">
        <v>-545901</v>
      </c>
    </row>
    <row r="20" customFormat="false" ht="15" hidden="false" customHeight="false" outlineLevel="0" collapsed="false">
      <c r="A20" s="40" t="s">
        <v>202</v>
      </c>
      <c r="B20" s="41" t="n">
        <v>-10667</v>
      </c>
      <c r="C20" s="41" t="n">
        <v>-32000</v>
      </c>
      <c r="D20" s="41" t="n">
        <v>-64000</v>
      </c>
      <c r="E20" s="41" t="n">
        <v>-93333</v>
      </c>
      <c r="F20" s="41" t="n">
        <v>-120000</v>
      </c>
    </row>
    <row r="21" customFormat="false" ht="15" hidden="false" customHeight="false" outlineLevel="0" collapsed="false">
      <c r="A21" s="40" t="s">
        <v>203</v>
      </c>
      <c r="B21" s="41" t="n">
        <v>-1697598</v>
      </c>
      <c r="C21" s="41" t="n">
        <v>-2831789</v>
      </c>
      <c r="D21" s="41" t="n">
        <v>-3034209</v>
      </c>
      <c r="E21" s="41" t="n">
        <v>-1918920</v>
      </c>
      <c r="F21" s="41" t="n">
        <v>-665901</v>
      </c>
    </row>
    <row r="22" customFormat="false" ht="15" hidden="false" customHeight="false" outlineLevel="0" collapsed="false">
      <c r="A22" s="40" t="s">
        <v>204</v>
      </c>
      <c r="B22" s="41" t="n">
        <v>0</v>
      </c>
      <c r="C22" s="41" t="n">
        <v>0</v>
      </c>
      <c r="D22" s="41" t="n">
        <v>0</v>
      </c>
      <c r="E22" s="41" t="n">
        <v>0</v>
      </c>
      <c r="F22" s="41" t="n">
        <v>0</v>
      </c>
    </row>
    <row r="23" customFormat="false" ht="15" hidden="false" customHeight="false" outlineLevel="0" collapsed="false">
      <c r="A23" s="42" t="s">
        <v>205</v>
      </c>
      <c r="B23" s="43" t="n">
        <v>-1697598</v>
      </c>
      <c r="C23" s="43" t="n">
        <v>-2831789</v>
      </c>
      <c r="D23" s="43" t="n">
        <v>-3034209</v>
      </c>
      <c r="E23" s="43" t="n">
        <v>-1918920</v>
      </c>
      <c r="F23" s="43" t="n">
        <v>-665901</v>
      </c>
    </row>
    <row r="24" customFormat="false" ht="15" hidden="false" customHeight="false" outlineLevel="0" collapsed="false">
      <c r="A24" s="40" t="s">
        <v>206</v>
      </c>
      <c r="B24" s="41" t="n">
        <v>1697598</v>
      </c>
      <c r="C24" s="41" t="n">
        <v>4529387</v>
      </c>
      <c r="D24" s="41" t="n">
        <v>7563596</v>
      </c>
      <c r="E24" s="41" t="n">
        <v>9482516</v>
      </c>
      <c r="F24" s="41" t="n">
        <v>10148417</v>
      </c>
    </row>
    <row r="25" customFormat="false" ht="15" hidden="false" customHeight="false" outlineLevel="0" collapsed="false">
      <c r="A25" s="40" t="s">
        <v>207</v>
      </c>
      <c r="B25" s="41" t="n">
        <v>-1697598</v>
      </c>
      <c r="C25" s="41" t="n">
        <v>-4529387</v>
      </c>
      <c r="D25" s="41" t="n">
        <v>-7563596</v>
      </c>
      <c r="E25" s="41" t="n">
        <v>-9482516</v>
      </c>
      <c r="F25" s="41" t="n">
        <v>-10148417</v>
      </c>
    </row>
    <row r="27" customFormat="false" ht="15" hidden="false" customHeight="false" outlineLevel="0" collapsed="false">
      <c r="A27" s="38" t="s">
        <v>210</v>
      </c>
    </row>
    <row r="28" customFormat="false" ht="15" hidden="false" customHeight="false" outlineLevel="0" collapsed="false">
      <c r="A28" s="39" t="s">
        <v>211</v>
      </c>
    </row>
    <row r="29" customFormat="false" ht="15" hidden="false" customHeight="false" outlineLevel="0" collapsed="false">
      <c r="A29" s="40" t="s">
        <v>200</v>
      </c>
      <c r="B29" s="41" t="n">
        <v>129903</v>
      </c>
      <c r="C29" s="41" t="n">
        <v>1084258</v>
      </c>
      <c r="D29" s="41" t="n">
        <v>3916586</v>
      </c>
      <c r="E29" s="41" t="n">
        <v>8532922</v>
      </c>
      <c r="F29" s="41" t="n">
        <v>13403888</v>
      </c>
    </row>
    <row r="30" customFormat="false" ht="15" hidden="false" customHeight="false" outlineLevel="0" collapsed="false">
      <c r="A30" s="42" t="s">
        <v>201</v>
      </c>
      <c r="B30" s="43" t="n">
        <v>-1661908</v>
      </c>
      <c r="C30" s="43" t="n">
        <v>-2583148</v>
      </c>
      <c r="D30" s="43" t="n">
        <v>-2181114</v>
      </c>
      <c r="E30" s="43" t="n">
        <v>-285443</v>
      </c>
      <c r="F30" s="43" t="n">
        <v>1697535</v>
      </c>
    </row>
    <row r="31" customFormat="false" ht="15" hidden="false" customHeight="false" outlineLevel="0" collapsed="false">
      <c r="A31" s="40" t="s">
        <v>202</v>
      </c>
      <c r="B31" s="41" t="n">
        <v>-10667</v>
      </c>
      <c r="C31" s="41" t="n">
        <v>-32000</v>
      </c>
      <c r="D31" s="41" t="n">
        <v>-64000</v>
      </c>
      <c r="E31" s="41" t="n">
        <v>-93333</v>
      </c>
      <c r="F31" s="41" t="n">
        <v>-120000</v>
      </c>
    </row>
    <row r="32" customFormat="false" ht="15" hidden="false" customHeight="false" outlineLevel="0" collapsed="false">
      <c r="A32" s="40" t="s">
        <v>203</v>
      </c>
      <c r="B32" s="41" t="n">
        <v>-1672575</v>
      </c>
      <c r="C32" s="41" t="n">
        <v>-2615148</v>
      </c>
      <c r="D32" s="41" t="n">
        <v>-2245114</v>
      </c>
      <c r="E32" s="41" t="n">
        <v>-378776</v>
      </c>
      <c r="F32" s="41" t="n">
        <v>1577535</v>
      </c>
    </row>
    <row r="33" customFormat="false" ht="15" hidden="false" customHeight="false" outlineLevel="0" collapsed="false">
      <c r="A33" s="40" t="s">
        <v>204</v>
      </c>
      <c r="B33" s="41" t="n">
        <v>0</v>
      </c>
      <c r="C33" s="41" t="n">
        <v>0</v>
      </c>
      <c r="D33" s="41" t="n">
        <v>0</v>
      </c>
      <c r="E33" s="41" t="n">
        <v>0</v>
      </c>
      <c r="F33" s="41" t="n">
        <v>0</v>
      </c>
    </row>
    <row r="34" customFormat="false" ht="15" hidden="false" customHeight="false" outlineLevel="0" collapsed="false">
      <c r="A34" s="42" t="s">
        <v>205</v>
      </c>
      <c r="B34" s="43" t="n">
        <v>-1672575</v>
      </c>
      <c r="C34" s="43" t="n">
        <v>-2615148</v>
      </c>
      <c r="D34" s="43" t="n">
        <v>-2245114</v>
      </c>
      <c r="E34" s="43" t="n">
        <v>-378776</v>
      </c>
      <c r="F34" s="43" t="n">
        <v>1577535</v>
      </c>
    </row>
    <row r="35" customFormat="false" ht="15" hidden="false" customHeight="false" outlineLevel="0" collapsed="false">
      <c r="A35" s="40" t="s">
        <v>206</v>
      </c>
      <c r="B35" s="41" t="n">
        <v>1672575</v>
      </c>
      <c r="C35" s="41" t="n">
        <v>4287723</v>
      </c>
      <c r="D35" s="41" t="n">
        <v>6532837</v>
      </c>
      <c r="E35" s="41" t="n">
        <v>6911613</v>
      </c>
      <c r="F35" s="41" t="n">
        <v>5334078</v>
      </c>
    </row>
    <row r="36" customFormat="false" ht="15" hidden="false" customHeight="false" outlineLevel="0" collapsed="false">
      <c r="A36" s="40" t="s">
        <v>207</v>
      </c>
      <c r="B36" s="41" t="n">
        <v>-1672575</v>
      </c>
      <c r="C36" s="41" t="n">
        <v>-4287723</v>
      </c>
      <c r="D36" s="41" t="n">
        <v>-6532837</v>
      </c>
      <c r="E36" s="41" t="n">
        <v>-6911613</v>
      </c>
      <c r="F36" s="41" t="n">
        <v>-5334078</v>
      </c>
    </row>
    <row r="38" customFormat="false" ht="15" hidden="false" customHeight="false" outlineLevel="0" collapsed="false">
      <c r="A38" s="44" t="s">
        <v>212</v>
      </c>
    </row>
    <row r="39" customFormat="false" ht="15" hidden="false" customHeight="false" outlineLevel="0" collapsed="false">
      <c r="A39" s="39" t="s">
        <v>213</v>
      </c>
    </row>
    <row r="40" customFormat="false" ht="15" hidden="false" customHeight="false" outlineLevel="0" collapsed="false">
      <c r="A40" s="40" t="s">
        <v>200</v>
      </c>
      <c r="B40" s="41" t="n">
        <v>181488</v>
      </c>
      <c r="C40" s="41" t="n">
        <v>1435841</v>
      </c>
      <c r="D40" s="41" t="n">
        <v>5068433</v>
      </c>
      <c r="E40" s="41" t="n">
        <v>10949149</v>
      </c>
      <c r="F40" s="41" t="n">
        <v>17307977</v>
      </c>
    </row>
    <row r="41" customFormat="false" ht="15" hidden="false" customHeight="false" outlineLevel="0" collapsed="false">
      <c r="A41" s="42" t="s">
        <v>201</v>
      </c>
      <c r="B41" s="43" t="n">
        <v>-1625328</v>
      </c>
      <c r="C41" s="43" t="n">
        <v>-2333032</v>
      </c>
      <c r="D41" s="43" t="n">
        <v>-1473079</v>
      </c>
      <c r="E41" s="43" t="n">
        <v>1056149</v>
      </c>
      <c r="F41" s="43" t="n">
        <v>3950120</v>
      </c>
    </row>
    <row r="42" customFormat="false" ht="15" hidden="false" customHeight="false" outlineLevel="0" collapsed="false">
      <c r="A42" s="40" t="s">
        <v>202</v>
      </c>
      <c r="B42" s="41" t="n">
        <v>-10667</v>
      </c>
      <c r="C42" s="41" t="n">
        <v>-32000</v>
      </c>
      <c r="D42" s="41" t="n">
        <v>-64000</v>
      </c>
      <c r="E42" s="41" t="n">
        <v>-93333</v>
      </c>
      <c r="F42" s="41" t="n">
        <v>-120000</v>
      </c>
    </row>
    <row r="43" customFormat="false" ht="15" hidden="false" customHeight="false" outlineLevel="0" collapsed="false">
      <c r="A43" s="40" t="s">
        <v>203</v>
      </c>
      <c r="B43" s="41" t="n">
        <v>-1635995</v>
      </c>
      <c r="C43" s="41" t="n">
        <v>-2365032</v>
      </c>
      <c r="D43" s="41" t="n">
        <v>-1537079</v>
      </c>
      <c r="E43" s="41" t="n">
        <v>962816</v>
      </c>
      <c r="F43" s="41" t="n">
        <v>3830120</v>
      </c>
    </row>
    <row r="44" customFormat="false" ht="15" hidden="false" customHeight="false" outlineLevel="0" collapsed="false">
      <c r="A44" s="40" t="s">
        <v>204</v>
      </c>
      <c r="B44" s="41" t="n">
        <v>0</v>
      </c>
      <c r="C44" s="41" t="n">
        <v>0</v>
      </c>
      <c r="D44" s="41" t="n">
        <v>0</v>
      </c>
      <c r="E44" s="41" t="n">
        <v>0</v>
      </c>
      <c r="F44" s="41" t="n">
        <v>0</v>
      </c>
    </row>
    <row r="45" customFormat="false" ht="15" hidden="false" customHeight="false" outlineLevel="0" collapsed="false">
      <c r="A45" s="42" t="s">
        <v>205</v>
      </c>
      <c r="B45" s="45" t="n">
        <v>-1635995</v>
      </c>
      <c r="C45" s="45" t="n">
        <v>-2365032</v>
      </c>
      <c r="D45" s="45" t="n">
        <v>-1537079</v>
      </c>
      <c r="E45" s="45" t="n">
        <v>962816</v>
      </c>
      <c r="F45" s="45" t="n">
        <v>3830120</v>
      </c>
    </row>
    <row r="46" customFormat="false" ht="15" hidden="false" customHeight="false" outlineLevel="0" collapsed="false">
      <c r="A46" s="40" t="s">
        <v>206</v>
      </c>
      <c r="B46" s="41" t="n">
        <v>1635995</v>
      </c>
      <c r="C46" s="41" t="n">
        <v>4001027</v>
      </c>
      <c r="D46" s="41" t="n">
        <v>5538106</v>
      </c>
      <c r="E46" s="41" t="n">
        <v>4575290</v>
      </c>
      <c r="F46" s="41" t="n">
        <v>745170</v>
      </c>
    </row>
    <row r="47" customFormat="false" ht="15" hidden="false" customHeight="false" outlineLevel="0" collapsed="false">
      <c r="A47" s="40" t="s">
        <v>207</v>
      </c>
      <c r="B47" s="41" t="n">
        <v>-1635995</v>
      </c>
      <c r="C47" s="41" t="n">
        <v>-4001027</v>
      </c>
      <c r="D47" s="41" t="n">
        <v>-5538106</v>
      </c>
      <c r="E47" s="41" t="n">
        <v>-4575290</v>
      </c>
      <c r="F47" s="41" t="n">
        <v>-745170</v>
      </c>
    </row>
    <row r="49" customFormat="false" ht="15" hidden="false" customHeight="false" outlineLevel="0" collapsed="false">
      <c r="A49" s="38" t="s">
        <v>214</v>
      </c>
    </row>
    <row r="50" customFormat="false" ht="15" hidden="false" customHeight="false" outlineLevel="0" collapsed="false">
      <c r="A50" s="40" t="s">
        <v>215</v>
      </c>
      <c r="B50" s="43" t="n">
        <v>4184</v>
      </c>
      <c r="D50" s="39"/>
    </row>
    <row r="51" customFormat="false" ht="15" hidden="false" customHeight="false" outlineLevel="0" collapsed="false">
      <c r="A51" s="40" t="s">
        <v>216</v>
      </c>
      <c r="B51" s="43" t="n">
        <v>5954</v>
      </c>
      <c r="D51" s="39"/>
    </row>
    <row r="52" customFormat="false" ht="15" hidden="false" customHeight="false" outlineLevel="0" collapsed="false">
      <c r="A52" s="40" t="s">
        <v>217</v>
      </c>
      <c r="B52" s="43" t="n">
        <v>43318722</v>
      </c>
      <c r="D52" s="39"/>
    </row>
    <row r="53" customFormat="false" ht="15" hidden="false" customHeight="false" outlineLevel="0" collapsed="false">
      <c r="A53" s="40" t="s">
        <v>218</v>
      </c>
      <c r="B53" s="43" t="n">
        <v>57382362</v>
      </c>
      <c r="D53" s="39" t="s">
        <v>219</v>
      </c>
    </row>
    <row r="54" customFormat="false" ht="15" hidden="false" customHeight="false" outlineLevel="0" collapsed="false">
      <c r="A54" s="40" t="s">
        <v>220</v>
      </c>
      <c r="B54" s="43" t="n">
        <v>14345590</v>
      </c>
      <c r="D54" s="39"/>
    </row>
    <row r="56" customFormat="false" ht="15" hidden="false" customHeight="false" outlineLevel="0" collapsed="false">
      <c r="A56" s="38" t="s">
        <v>221</v>
      </c>
    </row>
    <row r="57" customFormat="false" ht="15" hidden="false" customHeight="false" outlineLevel="0" collapsed="false">
      <c r="A57" s="37" t="s">
        <v>222</v>
      </c>
      <c r="B57" s="17" t="n">
        <v>30</v>
      </c>
      <c r="C57" s="17" t="n">
        <v>40</v>
      </c>
      <c r="D57" s="17" t="n">
        <v>50</v>
      </c>
      <c r="E57" s="17" t="n">
        <v>70</v>
      </c>
    </row>
    <row r="58" customFormat="false" ht="15" hidden="false" customHeight="false" outlineLevel="0" collapsed="false">
      <c r="A58" s="40" t="s">
        <v>223</v>
      </c>
      <c r="B58" s="41" t="n">
        <v>9000000</v>
      </c>
      <c r="C58" s="41" t="n">
        <v>11800000</v>
      </c>
      <c r="D58" s="41" t="n">
        <v>14700000</v>
      </c>
      <c r="E58" s="41" t="n">
        <v>20300000</v>
      </c>
    </row>
    <row r="59" customFormat="false" ht="15" hidden="false" customHeight="false" outlineLevel="0" collapsed="false">
      <c r="A59" s="40" t="s">
        <v>224</v>
      </c>
      <c r="B59" s="46" t="n">
        <v>2130</v>
      </c>
      <c r="C59" s="46" t="n">
        <v>2800</v>
      </c>
      <c r="D59" s="46" t="n">
        <v>3475</v>
      </c>
      <c r="E59" s="46" t="n">
        <v>4800</v>
      </c>
    </row>
    <row r="60" customFormat="false" ht="15" hidden="false" customHeight="false" outlineLevel="0" collapsed="false">
      <c r="A60" s="40" t="s">
        <v>225</v>
      </c>
      <c r="B60" s="47" t="n">
        <v>0.3</v>
      </c>
      <c r="C60" s="47" t="n">
        <v>0.39</v>
      </c>
      <c r="D60" s="47" t="n">
        <v>0.49</v>
      </c>
      <c r="E60" s="47" t="n">
        <v>0.67</v>
      </c>
    </row>
    <row r="62" customFormat="false" ht="15" hidden="false" customHeight="false" outlineLevel="0" collapsed="false">
      <c r="A62" s="48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6"/>
    <col collapsed="false" customWidth="true" hidden="false" outlineLevel="0" max="4" min="4" style="1" width="80"/>
    <col collapsed="false" customWidth="true" hidden="false" outlineLevel="0" max="6" min="5" style="1" width="16"/>
  </cols>
  <sheetData>
    <row r="1" customFormat="false" ht="17.25" hidden="false" customHeight="true" outlineLevel="0" collapsed="false">
      <c r="A1" s="2" t="s">
        <v>227</v>
      </c>
    </row>
    <row r="2" customFormat="false" ht="15" hidden="false" customHeight="true" outlineLevel="0" collapsed="false">
      <c r="A2" s="3" t="s">
        <v>228</v>
      </c>
    </row>
    <row r="4" customFormat="false" ht="15" hidden="false" customHeight="true" outlineLevel="0" collapsed="false">
      <c r="A4" s="22" t="s">
        <v>229</v>
      </c>
      <c r="B4" s="49" t="n">
        <f aca="false">Model!B71</f>
        <v>6252364.00772055</v>
      </c>
    </row>
    <row r="6" customFormat="false" ht="15" hidden="false" customHeight="true" outlineLevel="0" collapsed="false">
      <c r="A6" s="22" t="s">
        <v>230</v>
      </c>
    </row>
    <row r="7" customFormat="false" ht="15" hidden="false" customHeight="true" outlineLevel="0" collapsed="false">
      <c r="A7" s="22" t="s">
        <v>231</v>
      </c>
      <c r="B7" s="8" t="s">
        <v>232</v>
      </c>
      <c r="D7" s="4" t="s">
        <v>233</v>
      </c>
    </row>
    <row r="8" customFormat="false" ht="15" hidden="false" customHeight="true" outlineLevel="0" collapsed="false">
      <c r="A8" s="22" t="s">
        <v>234</v>
      </c>
      <c r="B8" s="8" t="s">
        <v>235</v>
      </c>
      <c r="D8" s="4" t="s">
        <v>236</v>
      </c>
    </row>
    <row r="9" customFormat="false" ht="15" hidden="false" customHeight="true" outlineLevel="0" collapsed="false">
      <c r="A9" s="22" t="s">
        <v>237</v>
      </c>
      <c r="B9" s="8" t="s">
        <v>238</v>
      </c>
      <c r="D9" s="4" t="s">
        <v>239</v>
      </c>
    </row>
    <row r="12" customFormat="false" ht="15" hidden="false" customHeight="true" outlineLevel="0" collapsed="false">
      <c r="A12" s="50" t="s">
        <v>240</v>
      </c>
    </row>
    <row r="14" customFormat="false" ht="15" hidden="false" customHeight="true" outlineLevel="0" collapsed="false">
      <c r="A14" s="22" t="s">
        <v>241</v>
      </c>
    </row>
    <row r="15" customFormat="false" ht="15" hidden="false" customHeight="true" outlineLevel="0" collapsed="false">
      <c r="A15" s="4" t="s">
        <v>242</v>
      </c>
    </row>
    <row r="16" customFormat="false" ht="15" hidden="false" customHeight="true" outlineLevel="0" collapsed="false">
      <c r="A16" s="4" t="s">
        <v>243</v>
      </c>
    </row>
    <row r="17" customFormat="false" ht="15" hidden="false" customHeight="true" outlineLevel="0" collapsed="false">
      <c r="A17" s="4" t="s">
        <v>244</v>
      </c>
    </row>
    <row r="18" customFormat="false" ht="15" hidden="false" customHeight="true" outlineLevel="0" collapsed="false">
      <c r="A18" s="4" t="s">
        <v>245</v>
      </c>
    </row>
    <row r="19" customFormat="false" ht="15" hidden="false" customHeight="true" outlineLevel="0" collapsed="false">
      <c r="A19" s="4" t="s">
        <v>246</v>
      </c>
    </row>
    <row r="20" customFormat="false" ht="15" hidden="false" customHeight="true" outlineLevel="0" collapsed="false">
      <c r="A20" s="4" t="s">
        <v>247</v>
      </c>
    </row>
    <row r="21" customFormat="false" ht="15" hidden="false" customHeight="true" outlineLevel="0" collapsed="false">
      <c r="A21" s="4" t="s">
        <v>248</v>
      </c>
    </row>
    <row r="22" customFormat="false" ht="15" hidden="false" customHeight="true" outlineLevel="0" collapsed="false">
      <c r="A22" s="4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2026-08-20T05:37:03Z</dcterms:created>
  <dc:creator>openpyxl</dc:creator>
  <dc:description/>
  <dc:language>en-US</dc:language>
  <cp:lastModifiedBy/>
  <dcterms:modified xsi:type="dcterms:W3CDTF">2026-08-20T05:37:54Z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