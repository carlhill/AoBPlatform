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del" sheetId="2" state="visible" r:id="rId4"/>
    <sheet name="Scenarios" sheetId="3" state="visible" r:id="rId5"/>
    <sheet name="Unit Economi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<sst xmlns="http://schemas.openxmlformats.org/spreadsheetml/2006/main" count="221" uniqueCount="186">
  <si>
    <t xml:space="preserve">NDIS Consent &amp; Evidence Platform — Cash Model Assumptions</t>
  </si>
  <si>
    <t xml:space="preserve">Separate product, separate model. Blue = input. Yellow = the levers that move the answer most. AUD. Years are years from launch.</t>
  </si>
  <si>
    <t xml:space="preserve">Legend: blue = input · black = calculated · green = link to another sheet · yellow = key lever · grey = driven by the scenario switch in B4</t>
  </si>
  <si>
    <t xml:space="preserve">SCENARIO   (1 = Standalone base   2 = Standalone lean   3 = Shared engine   4 = Shared engine + plan-manager channel)</t>
  </si>
  <si>
    <t xml:space="preserve">Change this one cell; the Model tab follows. Scenarios 3–4 assume the AoB engine already exists (smaller team).</t>
  </si>
  <si>
    <t xml:space="preserve">MARKET</t>
  </si>
  <si>
    <t xml:space="preserve">Registered therapy providers (orgs)</t>
  </si>
  <si>
    <t xml:space="preserve">NDIA Annual Pricing Review 2026-27 via Conway Group — verify against primary</t>
  </si>
  <si>
    <t xml:space="preserve">Unregistered therapy providers (solos)</t>
  </si>
  <si>
    <t xml:space="preserve">Same source; avg $22k NDIS billings each</t>
  </si>
  <si>
    <t xml:space="preserve">Registered non-therapy providers (support/SIL orgs)</t>
  </si>
  <si>
    <t xml:space="preserve">~17,374 registered minus therapy — ESTIMATE</t>
  </si>
  <si>
    <t xml:space="preserve">Plan management businesses</t>
  </si>
  <si>
    <t xml:space="preserve">ESTIMATE — verify with Disability Intermediaries Australia</t>
  </si>
  <si>
    <t xml:space="preserve">Practitioners per therapy org (avg)</t>
  </si>
  <si>
    <t xml:space="preserve">Assumption</t>
  </si>
  <si>
    <t xml:space="preserve">PRICING ($ per customer per month)</t>
  </si>
  <si>
    <t xml:space="preserve">Therapy org — per practitioner per month</t>
  </si>
  <si>
    <t xml:space="preserve">Signed support logs, service agreements, 7-yr retention, reconciliation</t>
  </si>
  <si>
    <t xml:space="preserve">Solo therapy provider — flat per month</t>
  </si>
  <si>
    <t xml:space="preserve">Self-serve tier; they bill only ~$22k/yr of NDIS</t>
  </si>
  <si>
    <t xml:space="preserve">Support/SIL org — average per month (tiered by workforce)</t>
  </si>
  <si>
    <t xml:space="preserve">0.2–0.5% of a typical org’s NDIS revenue; anchored against Lumary/ShiftCare spend</t>
  </si>
  <si>
    <t xml:space="preserve">Plan manager — per month</t>
  </si>
  <si>
    <t xml:space="preserve">Evidence verification on invoices from unregistered providers</t>
  </si>
  <si>
    <t xml:space="preserve">ADOPTION — new customers won during the year</t>
  </si>
  <si>
    <t xml:space="preserve">Year from launch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</si>
  <si>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</si>
  <si>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</si>
  <si>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</si>
  <si>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</si>
  <si>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</si>
  <si>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New therapy orgs won</t>
  </si>
  <si>
    <t xml:space="preserve">New solo providers won</t>
  </si>
  <si>
    <t xml:space="preserve">New support/SIL orgs won</t>
  </si>
  <si>
    <t xml:space="preserve">New plan managers won</t>
  </si>
  <si>
    <t xml:space="preserve">Annual customer churn (%)</t>
  </si>
  <si>
    <t xml:space="preserve">COST OF DELIVERY</t>
  </si>
  <si>
    <t xml:space="preserve">Blended delivery cost (% of revenue)</t>
  </si>
  <si>
    <t xml:space="preserve">Messaging, storage, support; capture is mostly in-person at point of support</t>
  </si>
  <si>
    <t xml:space="preserve">Infrastructure floor ($ per year)</t>
  </si>
  <si>
    <t xml:space="preserve">HSM, logging, environments — fixed from day one</t>
  </si>
  <si>
    <t xml:space="preserve">OPERATING COSTS</t>
  </si>
  <si>
    <t xml:space="preserve">Headcount at year end (FTE)</t>
  </si>
  <si>
    <t xml:space="preserve">Average fully loaded cost per FTE ($)</t>
  </si>
  <si>
    <t xml:space="preserve">Sales and marketing (% of revenue, floor below)</t>
  </si>
  <si>
    <t xml:space="preserve">Sales and marketing floor ($)</t>
  </si>
  <si>
    <t xml:space="preserve">Security, compliance and assurance ($)</t>
  </si>
  <si>
    <t xml:space="preserve">Other general and administrative ($ per FTE)</t>
  </si>
  <si>
    <t xml:space="preserve">WORKING CAPITAL, TAX AND FUNDING</t>
  </si>
  <si>
    <t xml:space="preserve">Debtor days</t>
  </si>
  <si>
    <t xml:space="preserve">NDIS invoices pay slower than card subscriptions</t>
  </si>
  <si>
    <t xml:space="preserve">Creditor days</t>
  </si>
  <si>
    <t xml:space="preserve">Opening cash ($)</t>
  </si>
  <si>
    <t xml:space="preserve">Set to actual</t>
  </si>
  <si>
    <t xml:space="preserve">Cash buffer on top of peak deficit ($)</t>
  </si>
  <si>
    <t xml:space="preserve">~6 months of trough run rate</t>
  </si>
  <si>
    <t xml:space="preserve">Equipment per FTE ($)</t>
  </si>
  <si>
    <t xml:space="preserve">Laptops, devices</t>
  </si>
  <si>
    <t xml:space="preserve">Asset life (years)</t>
  </si>
  <si>
    <t xml:space="preserve">Straight line</t>
  </si>
  <si>
    <t xml:space="preserve">Company tax rate</t>
  </si>
  <si>
    <t xml:space="preserve">Base rate entity</t>
  </si>
  <si>
    <t xml:space="preserve">SCENARIO TABLE</t>
  </si>
  <si>
    <t xml:space="preserve">1 Standalone</t>
  </si>
  <si>
    <t xml:space="preserve">2 Lean</t>
  </si>
  <si>
    <t xml:space="preserve">3 Shared engine</t>
  </si>
  <si>
    <t xml:space="preserve">4 Shared + PM channel</t>
  </si>
  <si>
    <t xml:space="preserve">Plan manager price ($/month)</t>
  </si>
  <si>
    <t xml:space="preserve">New therapy orgs — Y1</t>
  </si>
  <si>
    <t xml:space="preserve">New therapy orgs — Y2</t>
  </si>
  <si>
    <t xml:space="preserve">New therapy orgs — Y3</t>
  </si>
  <si>
    <t xml:space="preserve">New therapy orgs — Y4</t>
  </si>
  <si>
    <t xml:space="preserve">New therapy orgs — Y5</t>
  </si>
  <si>
    <t xml:space="preserve">New solos — Y1</t>
  </si>
  <si>
    <t xml:space="preserve">New solos — Y2</t>
  </si>
  <si>
    <t xml:space="preserve">New solos — Y3</t>
  </si>
  <si>
    <t xml:space="preserve">New solos — Y4</t>
  </si>
  <si>
    <t xml:space="preserve">New solos — Y5</t>
  </si>
  <si>
    <t xml:space="preserve">New support orgs — Y1</t>
  </si>
  <si>
    <t xml:space="preserve">New support orgs — Y2</t>
  </si>
  <si>
    <t xml:space="preserve">New support orgs — Y3</t>
  </si>
  <si>
    <t xml:space="preserve">New support orgs — Y4</t>
  </si>
  <si>
    <t xml:space="preserve">New support orgs — Y5</t>
  </si>
  <si>
    <t xml:space="preserve">New plan managers — Y1</t>
  </si>
  <si>
    <t xml:space="preserve">New plan managers — Y2</t>
  </si>
  <si>
    <t xml:space="preserve">New plan managers — Y3</t>
  </si>
  <si>
    <t xml:space="preserve">New plan managers — Y4</t>
  </si>
  <si>
    <t xml:space="preserve">New plan managers — Y5</t>
  </si>
  <si>
    <t xml:space="preserve">Headcount — Y1</t>
  </si>
  <si>
    <t xml:space="preserve">Headcount — Y2</t>
  </si>
  <si>
    <t xml:space="preserve">Headcount — Y3</t>
  </si>
  <si>
    <t xml:space="preserve">Headcount — Y4</t>
  </si>
  <si>
    <t xml:space="preserve">Headcount — Y5</t>
  </si>
  <si>
    <t xml:space="preserve">Every number on this sheet is an assumption, not a forecast. Nothing has been validated against a paying NDIS provider.</t>
  </si>
  <si>
    <t xml:space="preserve">NDIS Platform — Five Year Model</t>
  </si>
  <si>
    <t xml:space="preserve">All figures AUD. Years from launch. Green = pulled from Assumptions. Driven by the scenario switch (Assumptions B4).</t>
  </si>
  <si>
    <t xml:space="preserve">INSTALLED BASE (closing, after churn)</t>
  </si>
  <si>
    <t xml:space="preserve">Therapy orgs — closing</t>
  </si>
  <si>
    <t xml:space="preserve">Solo providers — closing</t>
  </si>
  <si>
    <t xml:space="preserve">Support/SIL orgs — closing</t>
  </si>
  <si>
    <t xml:space="preserve">Plan managers — closing</t>
  </si>
  <si>
    <t xml:space="preserve">Therapy orgs — average during year</t>
  </si>
  <si>
    <t xml:space="preserve">Solo providers — average during year</t>
  </si>
  <si>
    <t xml:space="preserve">Support/SIL orgs — average during year</t>
  </si>
  <si>
    <t xml:space="preserve">Plan managers — average during year</t>
  </si>
  <si>
    <t xml:space="preserve">REVENUE</t>
  </si>
  <si>
    <t xml:space="preserve">Therapy orgs</t>
  </si>
  <si>
    <t xml:space="preserve">Solo providers</t>
  </si>
  <si>
    <t xml:space="preserve">Support/SIL orgs</t>
  </si>
  <si>
    <t xml:space="preserve">Plan managers</t>
  </si>
  <si>
    <t xml:space="preserve">Total revenue</t>
  </si>
  <si>
    <t xml:space="preserve">Revenue growth</t>
  </si>
  <si>
    <t xml:space="preserve">-</t>
  </si>
  <si>
    <t xml:space="preserve">COSTS AND PROFIT</t>
  </si>
  <si>
    <t xml:space="preserve">Cost of delivery</t>
  </si>
  <si>
    <t xml:space="preserve">Gross profit</t>
  </si>
  <si>
    <t xml:space="preserve">Gross margin</t>
  </si>
  <si>
    <t xml:space="preserve">People</t>
  </si>
  <si>
    <t xml:space="preserve">Sales and marketing</t>
  </si>
  <si>
    <t xml:space="preserve">Security, compliance and assurance</t>
  </si>
  <si>
    <t xml:space="preserve">Other general and administrative</t>
  </si>
  <si>
    <t xml:space="preserve">EBITDA</t>
  </si>
  <si>
    <t xml:space="preserve">EBITDA margin</t>
  </si>
  <si>
    <t xml:space="preserve">Equipment purchased</t>
  </si>
  <si>
    <t xml:space="preserve">Depreciation and amortisation</t>
  </si>
  <si>
    <t xml:space="preserve">Profit before tax</t>
  </si>
  <si>
    <t xml:space="preserve">Carried-forward tax losses — opening</t>
  </si>
  <si>
    <t xml:space="preserve">Losses used this year</t>
  </si>
  <si>
    <t xml:space="preserve">Taxable income</t>
  </si>
  <si>
    <t xml:space="preserve">Carried-forward tax losses — closing</t>
  </si>
  <si>
    <t xml:space="preserve">Company tax</t>
  </si>
  <si>
    <t xml:space="preserve">NET PROFIT AFTER TAX</t>
  </si>
  <si>
    <t xml:space="preserve">CASH</t>
  </si>
  <si>
    <t xml:space="preserve">Add back depreciation and amortisation</t>
  </si>
  <si>
    <t xml:space="preserve">Movement in receivables</t>
  </si>
  <si>
    <t xml:space="preserve">Movement in payables</t>
  </si>
  <si>
    <t xml:space="preserve">Net cash flow</t>
  </si>
  <si>
    <t xml:space="preserve">Opening cash</t>
  </si>
  <si>
    <t xml:space="preserve">Closing cash before funding</t>
  </si>
  <si>
    <t xml:space="preserve">FUNDING</t>
  </si>
  <si>
    <t xml:space="preserve">Deepest cash deficit</t>
  </si>
  <si>
    <t xml:space="preserve">Cash buffer</t>
  </si>
  <si>
    <t xml:space="preserve">Capital to raise</t>
  </si>
  <si>
    <t xml:space="preserve">Not a forecast. Arithmetic on the Assumptions tab; every assumption there is unvalidated.</t>
  </si>
  <si>
    <t xml:space="preserve">Scenarios — four cases side by side</t>
  </si>
  <si>
    <t xml:space="preserve">Scenarios 3 and 4 assume the platform engine already exists (built for AoB) and cost only the incremental team. Standalone scenarios carry the full build.</t>
  </si>
  <si>
    <t xml:space="preserve">Scenario</t>
  </si>
  <si>
    <t xml:space="preserve">1 STANDALONE BASE</t>
  </si>
  <si>
    <t xml:space="preserve">Full team of 7→32. Own build, own infrastructure.</t>
  </si>
  <si>
    <t xml:space="preserve">   Revenue</t>
  </si>
  <si>
    <t xml:space="preserve">   EBITDA</t>
  </si>
  <si>
    <t xml:space="preserve">   Net profit after tax</t>
  </si>
  <si>
    <t xml:space="preserve">   Closing cash</t>
  </si>
  <si>
    <t xml:space="preserve">2 STANDALONE LEAN</t>
  </si>
  <si>
    <t xml:space="preserve">Same adoption, team 6→23.</t>
  </si>
  <si>
    <t xml:space="preserve">3 SHARED ENGINE</t>
  </si>
  <si>
    <t xml:space="preserve">Second product on the existing platform. Team 4→18 covers only NDIS-specific work.</t>
  </si>
  <si>
    <t xml:space="preserve">4 SHARED ENGINE + PLAN-MANAGER CHANNEL</t>
  </si>
  <si>
    <t xml:space="preserve">Plan managers as an aggregation channel reach the 46,000 unregistered solos.</t>
  </si>
  <si>
    <t xml:space="preserve">THE CEILING</t>
  </si>
  <si>
    <t xml:space="preserve">Therapy orgs: 7,274 × $1,620/yr</t>
  </si>
  <si>
    <t xml:space="preserve">Solo therapy: 46,330 × $228/yr</t>
  </si>
  <si>
    <t xml:space="preserve">Support/SIL orgs: ~10,000 × $7,200/yr</t>
  </si>
  <si>
    <t xml:space="preserve">The count and price are both estimates — this line dominates and is the least certain</t>
  </si>
  <si>
    <t xml:space="preserve">Plan managers: ~1,100 × $12,000/yr</t>
  </si>
  <si>
    <t xml:space="preserve">TOTAL AUSTRALIAN CEILING (100% share)</t>
  </si>
  <si>
    <t xml:space="preserve">Roughly double the AoB ceiling of $37.6–51.7m</t>
  </si>
  <si>
    <t xml:space="preserve">A strong 20% share</t>
  </si>
  <si>
    <t xml:space="preserve">All adoption figures are assumptions with no evidential basis. The support-org price ($600/month average) is the single most consequential guess in this workbook.</t>
  </si>
  <si>
    <t xml:space="preserve">Unit economics — one therapy org, one support org</t>
  </si>
  <si>
    <t xml:space="preserve">THERAPY ORG</t>
  </si>
  <si>
    <t xml:space="preserve">Revenue per year</t>
  </si>
  <si>
    <t xml:space="preserve">3 practitioners × $45 × 12</t>
  </si>
  <si>
    <t xml:space="preserve">Delivery cost</t>
  </si>
  <si>
    <t xml:space="preserve">Gross profit per year</t>
  </si>
  <si>
    <t xml:space="preserve">As % of their avg NDIS billings ($225k)</t>
  </si>
  <si>
    <t xml:space="preserve">Well under 1% — an easy line item</t>
  </si>
  <si>
    <t xml:space="preserve">SUPPORT/SIL ORG</t>
  </si>
  <si>
    <t xml:space="preserve">Tiered average</t>
  </si>
  <si>
    <t xml:space="preserve">As % of a $2m support org’s NDIS revenue</t>
  </si>
  <si>
    <t xml:space="preserve">0.36% of revenue for audit-proof evidence</t>
  </si>
  <si>
    <t xml:space="preserve">SOLO PROVIDER</t>
  </si>
  <si>
    <t xml:space="preserve">$19/month self-serve</t>
  </si>
  <si>
    <t xml:space="preserve">As % of avg solo NDIS billings ($22k)</t>
  </si>
  <si>
    <t xml:space="preserve">~1% — the practical ceiling for this tier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</si>
</sst>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;\(#,##0\);\-"/>
    <numFmt numFmtId="167" formatCode="0.0"/>
    <numFmt numFmtId="168" formatCode="\$#,##0;&quot;($&quot;#,##0\);\-"/>
    <numFmt numFmtId="169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A2B5F"/>
      <name val="Arial"/>
      <family val="0"/>
      <charset val="1"/>
    </font>
    <font>
      <i val="true"/>
      <sz val="9"/>
      <color rgb="FF5A6B72"/>
      <name val="Arial"/>
      <family val="0"/>
      <charset val="1"/>
    </font>
    <font>
      <i val="true"/>
      <sz val="8"/>
      <color rgb="FF5A6B72"/>
      <name val="Arial"/>
      <family val="0"/>
      <charset val="1"/>
    </font>
    <font>
      <b val="true"/>
      <sz val="10"/>
      <color rgb="FF4A2B5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B23A26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0EBF5"/>
        <bgColor rgb="FFFFFFFF"/>
      </patternFill>
    </fill>
    <fill>
      <patternFill patternType="solid">
        <fgColor rgb="FF4A2B5F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EB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2"/>
      <rgbColor rgb="FF969696"/>
      <rgbColor rgb="FF003366"/>
      <rgbColor rgb="FF339966"/>
      <rgbColor rgb="FF003300"/>
      <rgbColor rgb="FF333300"/>
      <rgbColor rgb="FFB23A26"/>
      <rgbColor rgb="FF993366"/>
      <rgbColor rgb="FF333399"/>
      <rgbColor rgb="FF4A2B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4"/>
    <col collapsed="false" customWidth="true" hidden="false" outlineLevel="0" max="4" min="4" style="0" width="66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5" t="n">
        <v>4</v>
      </c>
      <c r="D4" s="3" t="s">
        <v>4</v>
      </c>
    </row>
    <row r="6" customFormat="false" ht="15" hidden="false" customHeight="false" outlineLevel="0" collapsed="false">
      <c r="A6" s="6" t="s">
        <v>5</v>
      </c>
    </row>
    <row r="7" customFormat="false" ht="15" hidden="false" customHeight="false" outlineLevel="0" collapsed="false">
      <c r="A7" s="7" t="s">
        <v>6</v>
      </c>
      <c r="B7" s="8" t="n">
        <v>7274</v>
      </c>
      <c r="D7" s="3" t="s">
        <v>7</v>
      </c>
    </row>
    <row r="8" customFormat="false" ht="15" hidden="false" customHeight="false" outlineLevel="0" collapsed="false">
      <c r="A8" s="7" t="s">
        <v>8</v>
      </c>
      <c r="B8" s="8" t="n">
        <v>46330</v>
      </c>
      <c r="D8" s="3" t="s">
        <v>9</v>
      </c>
    </row>
    <row r="9" customFormat="false" ht="15" hidden="false" customHeight="false" outlineLevel="0" collapsed="false">
      <c r="A9" s="7" t="s">
        <v>10</v>
      </c>
      <c r="B9" s="8" t="n">
        <v>10000</v>
      </c>
      <c r="D9" s="3" t="s">
        <v>11</v>
      </c>
    </row>
    <row r="10" customFormat="false" ht="15" hidden="false" customHeight="false" outlineLevel="0" collapsed="false">
      <c r="A10" s="7" t="s">
        <v>12</v>
      </c>
      <c r="B10" s="8" t="n">
        <v>1100</v>
      </c>
      <c r="D10" s="3" t="s">
        <v>13</v>
      </c>
    </row>
    <row r="11" customFormat="false" ht="15" hidden="false" customHeight="false" outlineLevel="0" collapsed="false">
      <c r="A11" s="7" t="s">
        <v>14</v>
      </c>
      <c r="B11" s="9" t="n">
        <v>3</v>
      </c>
      <c r="D11" s="3" t="s">
        <v>15</v>
      </c>
    </row>
    <row r="13" customFormat="false" ht="15" hidden="false" customHeight="false" outlineLevel="0" collapsed="false">
      <c r="A13" s="6" t="s">
        <v>16</v>
      </c>
    </row>
    <row r="14" customFormat="false" ht="15" hidden="false" customHeight="false" outlineLevel="0" collapsed="false">
      <c r="A14" s="7" t="s">
        <v>17</v>
      </c>
      <c r="B14" s="10" t="n">
        <v>45</v>
      </c>
      <c r="D14" s="3" t="s">
        <v>18</v>
      </c>
    </row>
    <row r="15" customFormat="false" ht="15" hidden="false" customHeight="false" outlineLevel="0" collapsed="false">
      <c r="A15" s="7" t="s">
        <v>19</v>
      </c>
      <c r="B15" s="10" t="n">
        <v>19</v>
      </c>
      <c r="D15" s="3" t="s">
        <v>20</v>
      </c>
    </row>
    <row r="16" customFormat="false" ht="15" hidden="false" customHeight="false" outlineLevel="0" collapsed="false">
      <c r="A16" s="7" t="s">
        <v>21</v>
      </c>
      <c r="B16" s="10" t="n">
        <v>600</v>
      </c>
      <c r="D16" s="3" t="s">
        <v>22</v>
      </c>
    </row>
    <row r="17" customFormat="false" ht="15" hidden="false" customHeight="false" outlineLevel="0" collapsed="false">
      <c r="A17" s="7" t="s">
        <v>23</v>
      </c>
      <c r="B17" s="11" t="n">
        <f aca="false">INDEX(B50:E50,$B$4)</f>
        <v>1250</v>
      </c>
      <c r="D17" s="3" t="s">
        <v>24</v>
      </c>
    </row>
    <row r="19" customFormat="false" ht="15" hidden="false" customHeight="false" outlineLevel="0" collapsed="false">
      <c r="A19" s="6" t="s">
        <v>25</v>
      </c>
    </row>
    <row r="20" customFormat="false" ht="15" hidden="false" customHeight="false" outlineLevel="0" collapsed="false">
      <c r="A20" s="12" t="s">
        <v>26</v>
      </c>
      <c r="B20" s="13" t="s">
        <v>27</v>
      </c>
      <c r="C20" s="13" t="s">
        <v>28</v>
      </c>
      <c r="D20" s="13" t="s">
        <v>29</v>
      </c>
      <c r="E20" s="13" t="s">
        <v>30</v>
      </c>
      <c r="F20" s="13" t="s">
        <v>31</v>
      </c>
    </row>
    <row r="21" customFormat="false" ht="15" hidden="false" customHeight="false" outlineLevel="0" collapsed="false">
      <c r="A21" s="7" t="s">
        <v>32</v>
      </c>
      <c r="B21" s="14" t="n">
        <f aca="false">INDEX(B51:E51,$B$4)</f>
        <v>30</v>
      </c>
      <c r="C21" s="14" t="n">
        <f aca="false">INDEX(B52:E52,$B$4)</f>
        <v>150</v>
      </c>
      <c r="D21" s="14" t="n">
        <f aca="false">INDEX(B53:E53,$B$4)</f>
        <v>400</v>
      </c>
      <c r="E21" s="14" t="n">
        <f aca="false">INDEX(B54:E54,$B$4)</f>
        <v>700</v>
      </c>
      <c r="F21" s="14" t="n">
        <f aca="false">INDEX(B55:E55,$B$4)</f>
        <v>900</v>
      </c>
    </row>
    <row r="22" customFormat="false" ht="15" hidden="false" customHeight="false" outlineLevel="0" collapsed="false">
      <c r="A22" s="7" t="s">
        <v>33</v>
      </c>
      <c r="B22" s="14" t="n">
        <f aca="false">INDEX(B56:E56,$B$4)</f>
        <v>80</v>
      </c>
      <c r="C22" s="14" t="n">
        <f aca="false">INDEX(B57:E57,$B$4)</f>
        <v>600</v>
      </c>
      <c r="D22" s="14" t="n">
        <f aca="false">INDEX(B58:E58,$B$4)</f>
        <v>2200</v>
      </c>
      <c r="E22" s="14" t="n">
        <f aca="false">INDEX(B59:E59,$B$4)</f>
        <v>4200</v>
      </c>
      <c r="F22" s="14" t="n">
        <f aca="false">INDEX(B60:E60,$B$4)</f>
        <v>6000</v>
      </c>
    </row>
    <row r="23" customFormat="false" ht="15" hidden="false" customHeight="false" outlineLevel="0" collapsed="false">
      <c r="A23" s="7" t="s">
        <v>34</v>
      </c>
      <c r="B23" s="14" t="n">
        <f aca="false">INDEX(B61:E61,$B$4)</f>
        <v>10</v>
      </c>
      <c r="C23" s="14" t="n">
        <f aca="false">INDEX(B62:E62,$B$4)</f>
        <v>60</v>
      </c>
      <c r="D23" s="14" t="n">
        <f aca="false">INDEX(B63:E63,$B$4)</f>
        <v>180</v>
      </c>
      <c r="E23" s="14" t="n">
        <f aca="false">INDEX(B64:E64,$B$4)</f>
        <v>350</v>
      </c>
      <c r="F23" s="14" t="n">
        <f aca="false">INDEX(B65:E65,$B$4)</f>
        <v>500</v>
      </c>
    </row>
    <row r="24" customFormat="false" ht="15" hidden="false" customHeight="false" outlineLevel="0" collapsed="false">
      <c r="A24" s="7" t="s">
        <v>35</v>
      </c>
      <c r="B24" s="14" t="n">
        <f aca="false">INDEX(B66:E66,$B$4)</f>
        <v>12</v>
      </c>
      <c r="C24" s="14" t="n">
        <f aca="false">INDEX(B67:E67,$B$4)</f>
        <v>40</v>
      </c>
      <c r="D24" s="14" t="n">
        <f aca="false">INDEX(B68:E68,$B$4)</f>
        <v>90</v>
      </c>
      <c r="E24" s="14" t="n">
        <f aca="false">INDEX(B69:E69,$B$4)</f>
        <v>150</v>
      </c>
      <c r="F24" s="14" t="n">
        <f aca="false">INDEX(B70:E70,$B$4)</f>
        <v>210</v>
      </c>
    </row>
    <row r="25" customFormat="false" ht="15" hidden="false" customHeight="false" outlineLevel="0" collapsed="false">
      <c r="A25" s="7" t="s">
        <v>36</v>
      </c>
      <c r="B25" s="15" t="n">
        <v>0.08</v>
      </c>
      <c r="C25" s="15" t="n">
        <v>0.1</v>
      </c>
      <c r="D25" s="15" t="n">
        <v>0.12</v>
      </c>
      <c r="E25" s="15" t="n">
        <v>0.12</v>
      </c>
      <c r="F25" s="15" t="n">
        <v>0.12</v>
      </c>
    </row>
    <row r="27" customFormat="false" ht="15" hidden="false" customHeight="false" outlineLevel="0" collapsed="false">
      <c r="A27" s="6" t="s">
        <v>37</v>
      </c>
    </row>
    <row r="28" customFormat="false" ht="15" hidden="false" customHeight="false" outlineLevel="0" collapsed="false">
      <c r="A28" s="7" t="s">
        <v>38</v>
      </c>
      <c r="B28" s="15" t="n">
        <v>0.18</v>
      </c>
      <c r="D28" s="3" t="s">
        <v>39</v>
      </c>
    </row>
    <row r="29" customFormat="false" ht="15" hidden="false" customHeight="false" outlineLevel="0" collapsed="false">
      <c r="A29" s="7" t="s">
        <v>40</v>
      </c>
      <c r="B29" s="16" t="n">
        <v>70000</v>
      </c>
      <c r="D29" s="3" t="s">
        <v>41</v>
      </c>
    </row>
    <row r="31" customFormat="false" ht="15" hidden="false" customHeight="false" outlineLevel="0" collapsed="false">
      <c r="A31" s="6" t="s">
        <v>42</v>
      </c>
    </row>
    <row r="32" customFormat="false" ht="15" hidden="false" customHeight="false" outlineLevel="0" collapsed="false">
      <c r="A32" s="12" t="s">
        <v>26</v>
      </c>
      <c r="B32" s="13" t="s">
        <v>27</v>
      </c>
      <c r="C32" s="13" t="s">
        <v>28</v>
      </c>
      <c r="D32" s="13" t="s">
        <v>29</v>
      </c>
      <c r="E32" s="13" t="s">
        <v>30</v>
      </c>
      <c r="F32" s="13" t="s">
        <v>31</v>
      </c>
    </row>
    <row r="33" customFormat="false" ht="15" hidden="false" customHeight="false" outlineLevel="0" collapsed="false">
      <c r="A33" s="7" t="s">
        <v>43</v>
      </c>
      <c r="B33" s="14" t="n">
        <f aca="false">INDEX(B71:E71,$B$4)</f>
        <v>4</v>
      </c>
      <c r="C33" s="14" t="n">
        <f aca="false">INDEX(B72:E72,$B$4)</f>
        <v>8</v>
      </c>
      <c r="D33" s="14" t="n">
        <f aca="false">INDEX(B73:E73,$B$4)</f>
        <v>13</v>
      </c>
      <c r="E33" s="14" t="n">
        <f aca="false">INDEX(B74:E74,$B$4)</f>
        <v>17</v>
      </c>
      <c r="F33" s="14" t="n">
        <f aca="false">INDEX(B75:E75,$B$4)</f>
        <v>21</v>
      </c>
    </row>
    <row r="34" customFormat="false" ht="15" hidden="false" customHeight="false" outlineLevel="0" collapsed="false">
      <c r="A34" s="7" t="s">
        <v>44</v>
      </c>
      <c r="B34" s="16" t="n">
        <v>150000</v>
      </c>
      <c r="C34" s="16" t="n">
        <v>154500</v>
      </c>
      <c r="D34" s="16" t="n">
        <v>159135</v>
      </c>
      <c r="E34" s="16" t="n">
        <v>163909</v>
      </c>
      <c r="F34" s="16" t="n">
        <v>168826</v>
      </c>
    </row>
    <row r="35" customFormat="false" ht="15" hidden="false" customHeight="false" outlineLevel="0" collapsed="false">
      <c r="A35" s="7" t="s">
        <v>45</v>
      </c>
      <c r="B35" s="15" t="n">
        <v>0.3</v>
      </c>
      <c r="C35" s="15" t="n">
        <v>0.25</v>
      </c>
      <c r="D35" s="15" t="n">
        <v>0.2</v>
      </c>
      <c r="E35" s="15" t="n">
        <v>0.16</v>
      </c>
      <c r="F35" s="15" t="n">
        <v>0.14</v>
      </c>
    </row>
    <row r="36" customFormat="false" ht="15" hidden="false" customHeight="false" outlineLevel="0" collapsed="false">
      <c r="A36" s="7" t="s">
        <v>46</v>
      </c>
      <c r="B36" s="16" t="n">
        <v>300000</v>
      </c>
      <c r="C36" s="16" t="n">
        <v>500000</v>
      </c>
      <c r="D36" s="16" t="n">
        <v>750000</v>
      </c>
      <c r="E36" s="16" t="n">
        <v>1000000</v>
      </c>
      <c r="F36" s="16" t="n">
        <v>1200000</v>
      </c>
    </row>
    <row r="37" customFormat="false" ht="15" hidden="false" customHeight="false" outlineLevel="0" collapsed="false">
      <c r="A37" s="7" t="s">
        <v>47</v>
      </c>
      <c r="B37" s="16" t="n">
        <v>120000</v>
      </c>
      <c r="C37" s="16" t="n">
        <v>160000</v>
      </c>
      <c r="D37" s="16" t="n">
        <v>200000</v>
      </c>
      <c r="E37" s="16" t="n">
        <v>230000</v>
      </c>
      <c r="F37" s="16" t="n">
        <v>260000</v>
      </c>
    </row>
    <row r="38" customFormat="false" ht="15" hidden="false" customHeight="false" outlineLevel="0" collapsed="false">
      <c r="A38" s="7" t="s">
        <v>48</v>
      </c>
      <c r="B38" s="16" t="n">
        <v>9000</v>
      </c>
      <c r="C38" s="16" t="n">
        <v>9000</v>
      </c>
      <c r="D38" s="16" t="n">
        <v>9500</v>
      </c>
      <c r="E38" s="16" t="n">
        <v>9500</v>
      </c>
      <c r="F38" s="16" t="n">
        <v>10000</v>
      </c>
    </row>
    <row r="40" customFormat="false" ht="15" hidden="false" customHeight="false" outlineLevel="0" collapsed="false">
      <c r="A40" s="6" t="s">
        <v>49</v>
      </c>
    </row>
    <row r="41" customFormat="false" ht="15" hidden="false" customHeight="false" outlineLevel="0" collapsed="false">
      <c r="A41" s="7" t="s">
        <v>50</v>
      </c>
      <c r="B41" s="8" t="n">
        <v>35</v>
      </c>
      <c r="D41" s="3" t="s">
        <v>51</v>
      </c>
    </row>
    <row r="42" customFormat="false" ht="15" hidden="false" customHeight="false" outlineLevel="0" collapsed="false">
      <c r="A42" s="7" t="s">
        <v>52</v>
      </c>
      <c r="B42" s="8" t="n">
        <v>30</v>
      </c>
      <c r="D42" s="3" t="s">
        <v>15</v>
      </c>
    </row>
    <row r="43" customFormat="false" ht="15" hidden="false" customHeight="false" outlineLevel="0" collapsed="false">
      <c r="A43" s="7" t="s">
        <v>53</v>
      </c>
      <c r="B43" s="16" t="n">
        <v>0</v>
      </c>
      <c r="D43" s="3" t="s">
        <v>54</v>
      </c>
    </row>
    <row r="44" customFormat="false" ht="15" hidden="false" customHeight="false" outlineLevel="0" collapsed="false">
      <c r="A44" s="7" t="s">
        <v>55</v>
      </c>
      <c r="B44" s="16" t="n">
        <v>600000</v>
      </c>
      <c r="D44" s="3" t="s">
        <v>56</v>
      </c>
    </row>
    <row r="45" customFormat="false" ht="15" hidden="false" customHeight="false" outlineLevel="0" collapsed="false">
      <c r="A45" s="7" t="s">
        <v>57</v>
      </c>
      <c r="B45" s="16" t="n">
        <v>4000</v>
      </c>
      <c r="D45" s="3" t="s">
        <v>58</v>
      </c>
    </row>
    <row r="46" customFormat="false" ht="15" hidden="false" customHeight="false" outlineLevel="0" collapsed="false">
      <c r="A46" s="7" t="s">
        <v>59</v>
      </c>
      <c r="B46" s="8" t="n">
        <v>3</v>
      </c>
      <c r="D46" s="3" t="s">
        <v>60</v>
      </c>
    </row>
    <row r="47" customFormat="false" ht="15" hidden="false" customHeight="false" outlineLevel="0" collapsed="false">
      <c r="A47" s="7" t="s">
        <v>61</v>
      </c>
      <c r="B47" s="15" t="n">
        <v>0.25</v>
      </c>
      <c r="D47" s="3" t="s">
        <v>62</v>
      </c>
    </row>
    <row r="49" customFormat="false" ht="15" hidden="false" customHeight="false" outlineLevel="0" collapsed="false">
      <c r="A49" s="6" t="s">
        <v>63</v>
      </c>
      <c r="B49" s="13" t="s">
        <v>64</v>
      </c>
      <c r="C49" s="13" t="s">
        <v>65</v>
      </c>
      <c r="D49" s="13" t="s">
        <v>66</v>
      </c>
      <c r="E49" s="13" t="s">
        <v>67</v>
      </c>
    </row>
    <row r="50" customFormat="false" ht="15" hidden="false" customHeight="false" outlineLevel="0" collapsed="false">
      <c r="A50" s="7" t="s">
        <v>68</v>
      </c>
      <c r="B50" s="16" t="n">
        <v>1000</v>
      </c>
      <c r="C50" s="16" t="n">
        <v>1000</v>
      </c>
      <c r="D50" s="16" t="n">
        <v>1000</v>
      </c>
      <c r="E50" s="16" t="n">
        <v>1250</v>
      </c>
    </row>
    <row r="51" customFormat="false" ht="15" hidden="false" customHeight="false" outlineLevel="0" collapsed="false">
      <c r="A51" s="7" t="s">
        <v>69</v>
      </c>
      <c r="B51" s="8" t="n">
        <v>30</v>
      </c>
      <c r="C51" s="8" t="n">
        <v>30</v>
      </c>
      <c r="D51" s="8" t="n">
        <v>30</v>
      </c>
      <c r="E51" s="8" t="n">
        <v>30</v>
      </c>
    </row>
    <row r="52" customFormat="false" ht="15" hidden="false" customHeight="false" outlineLevel="0" collapsed="false">
      <c r="A52" s="7" t="s">
        <v>70</v>
      </c>
      <c r="B52" s="8" t="n">
        <v>150</v>
      </c>
      <c r="C52" s="8" t="n">
        <v>150</v>
      </c>
      <c r="D52" s="8" t="n">
        <v>150</v>
      </c>
      <c r="E52" s="8" t="n">
        <v>150</v>
      </c>
    </row>
    <row r="53" customFormat="false" ht="15" hidden="false" customHeight="false" outlineLevel="0" collapsed="false">
      <c r="A53" s="7" t="s">
        <v>71</v>
      </c>
      <c r="B53" s="8" t="n">
        <v>400</v>
      </c>
      <c r="C53" s="8" t="n">
        <v>400</v>
      </c>
      <c r="D53" s="8" t="n">
        <v>400</v>
      </c>
      <c r="E53" s="8" t="n">
        <v>400</v>
      </c>
    </row>
    <row r="54" customFormat="false" ht="15" hidden="false" customHeight="false" outlineLevel="0" collapsed="false">
      <c r="A54" s="7" t="s">
        <v>72</v>
      </c>
      <c r="B54" s="8" t="n">
        <v>700</v>
      </c>
      <c r="C54" s="8" t="n">
        <v>700</v>
      </c>
      <c r="D54" s="8" t="n">
        <v>700</v>
      </c>
      <c r="E54" s="8" t="n">
        <v>700</v>
      </c>
    </row>
    <row r="55" customFormat="false" ht="15" hidden="false" customHeight="false" outlineLevel="0" collapsed="false">
      <c r="A55" s="7" t="s">
        <v>73</v>
      </c>
      <c r="B55" s="8" t="n">
        <v>900</v>
      </c>
      <c r="C55" s="8" t="n">
        <v>900</v>
      </c>
      <c r="D55" s="8" t="n">
        <v>900</v>
      </c>
      <c r="E55" s="8" t="n">
        <v>900</v>
      </c>
    </row>
    <row r="56" customFormat="false" ht="15" hidden="false" customHeight="false" outlineLevel="0" collapsed="false">
      <c r="A56" s="7" t="s">
        <v>74</v>
      </c>
      <c r="B56" s="8" t="n">
        <v>50</v>
      </c>
      <c r="C56" s="8" t="n">
        <v>50</v>
      </c>
      <c r="D56" s="8" t="n">
        <v>50</v>
      </c>
      <c r="E56" s="8" t="n">
        <v>80</v>
      </c>
    </row>
    <row r="57" customFormat="false" ht="15" hidden="false" customHeight="false" outlineLevel="0" collapsed="false">
      <c r="A57" s="7" t="s">
        <v>75</v>
      </c>
      <c r="B57" s="8" t="n">
        <v>400</v>
      </c>
      <c r="C57" s="8" t="n">
        <v>400</v>
      </c>
      <c r="D57" s="8" t="n">
        <v>400</v>
      </c>
      <c r="E57" s="8" t="n">
        <v>600</v>
      </c>
    </row>
    <row r="58" customFormat="false" ht="15" hidden="false" customHeight="false" outlineLevel="0" collapsed="false">
      <c r="A58" s="7" t="s">
        <v>76</v>
      </c>
      <c r="B58" s="8" t="n">
        <v>1500</v>
      </c>
      <c r="C58" s="8" t="n">
        <v>1500</v>
      </c>
      <c r="D58" s="8" t="n">
        <v>1500</v>
      </c>
      <c r="E58" s="8" t="n">
        <v>2200</v>
      </c>
    </row>
    <row r="59" customFormat="false" ht="15" hidden="false" customHeight="false" outlineLevel="0" collapsed="false">
      <c r="A59" s="7" t="s">
        <v>77</v>
      </c>
      <c r="B59" s="8" t="n">
        <v>3000</v>
      </c>
      <c r="C59" s="8" t="n">
        <v>3000</v>
      </c>
      <c r="D59" s="8" t="n">
        <v>3000</v>
      </c>
      <c r="E59" s="8" t="n">
        <v>4200</v>
      </c>
    </row>
    <row r="60" customFormat="false" ht="15" hidden="false" customHeight="false" outlineLevel="0" collapsed="false">
      <c r="A60" s="7" t="s">
        <v>78</v>
      </c>
      <c r="B60" s="8" t="n">
        <v>4500</v>
      </c>
      <c r="C60" s="8" t="n">
        <v>4500</v>
      </c>
      <c r="D60" s="8" t="n">
        <v>4500</v>
      </c>
      <c r="E60" s="8" t="n">
        <v>6000</v>
      </c>
    </row>
    <row r="61" customFormat="false" ht="15" hidden="false" customHeight="false" outlineLevel="0" collapsed="false">
      <c r="A61" s="7" t="s">
        <v>79</v>
      </c>
      <c r="B61" s="8" t="n">
        <v>10</v>
      </c>
      <c r="C61" s="8" t="n">
        <v>10</v>
      </c>
      <c r="D61" s="8" t="n">
        <v>10</v>
      </c>
      <c r="E61" s="8" t="n">
        <v>10</v>
      </c>
    </row>
    <row r="62" customFormat="false" ht="15" hidden="false" customHeight="false" outlineLevel="0" collapsed="false">
      <c r="A62" s="7" t="s">
        <v>80</v>
      </c>
      <c r="B62" s="8" t="n">
        <v>60</v>
      </c>
      <c r="C62" s="8" t="n">
        <v>60</v>
      </c>
      <c r="D62" s="8" t="n">
        <v>60</v>
      </c>
      <c r="E62" s="8" t="n">
        <v>60</v>
      </c>
    </row>
    <row r="63" customFormat="false" ht="15" hidden="false" customHeight="false" outlineLevel="0" collapsed="false">
      <c r="A63" s="7" t="s">
        <v>81</v>
      </c>
      <c r="B63" s="8" t="n">
        <v>180</v>
      </c>
      <c r="C63" s="8" t="n">
        <v>180</v>
      </c>
      <c r="D63" s="8" t="n">
        <v>180</v>
      </c>
      <c r="E63" s="8" t="n">
        <v>180</v>
      </c>
    </row>
    <row r="64" customFormat="false" ht="15" hidden="false" customHeight="false" outlineLevel="0" collapsed="false">
      <c r="A64" s="7" t="s">
        <v>82</v>
      </c>
      <c r="B64" s="8" t="n">
        <v>350</v>
      </c>
      <c r="C64" s="8" t="n">
        <v>350</v>
      </c>
      <c r="D64" s="8" t="n">
        <v>350</v>
      </c>
      <c r="E64" s="8" t="n">
        <v>350</v>
      </c>
    </row>
    <row r="65" customFormat="false" ht="15" hidden="false" customHeight="false" outlineLevel="0" collapsed="false">
      <c r="A65" s="7" t="s">
        <v>83</v>
      </c>
      <c r="B65" s="8" t="n">
        <v>500</v>
      </c>
      <c r="C65" s="8" t="n">
        <v>500</v>
      </c>
      <c r="D65" s="8" t="n">
        <v>500</v>
      </c>
      <c r="E65" s="8" t="n">
        <v>500</v>
      </c>
    </row>
    <row r="66" customFormat="false" ht="15" hidden="false" customHeight="false" outlineLevel="0" collapsed="false">
      <c r="A66" s="7" t="s">
        <v>84</v>
      </c>
      <c r="B66" s="8" t="n">
        <v>5</v>
      </c>
      <c r="C66" s="8" t="n">
        <v>5</v>
      </c>
      <c r="D66" s="8" t="n">
        <v>5</v>
      </c>
      <c r="E66" s="8" t="n">
        <v>12</v>
      </c>
    </row>
    <row r="67" customFormat="false" ht="15" hidden="false" customHeight="false" outlineLevel="0" collapsed="false">
      <c r="A67" s="7" t="s">
        <v>85</v>
      </c>
      <c r="B67" s="8" t="n">
        <v>20</v>
      </c>
      <c r="C67" s="8" t="n">
        <v>20</v>
      </c>
      <c r="D67" s="8" t="n">
        <v>20</v>
      </c>
      <c r="E67" s="8" t="n">
        <v>40</v>
      </c>
    </row>
    <row r="68" customFormat="false" ht="15" hidden="false" customHeight="false" outlineLevel="0" collapsed="false">
      <c r="A68" s="7" t="s">
        <v>86</v>
      </c>
      <c r="B68" s="8" t="n">
        <v>50</v>
      </c>
      <c r="C68" s="8" t="n">
        <v>50</v>
      </c>
      <c r="D68" s="8" t="n">
        <v>50</v>
      </c>
      <c r="E68" s="8" t="n">
        <v>90</v>
      </c>
    </row>
    <row r="69" customFormat="false" ht="15" hidden="false" customHeight="false" outlineLevel="0" collapsed="false">
      <c r="A69" s="7" t="s">
        <v>87</v>
      </c>
      <c r="B69" s="8" t="n">
        <v>90</v>
      </c>
      <c r="C69" s="8" t="n">
        <v>90</v>
      </c>
      <c r="D69" s="8" t="n">
        <v>90</v>
      </c>
      <c r="E69" s="8" t="n">
        <v>150</v>
      </c>
    </row>
    <row r="70" customFormat="false" ht="15" hidden="false" customHeight="false" outlineLevel="0" collapsed="false">
      <c r="A70" s="7" t="s">
        <v>88</v>
      </c>
      <c r="B70" s="8" t="n">
        <v>130</v>
      </c>
      <c r="C70" s="8" t="n">
        <v>130</v>
      </c>
      <c r="D70" s="8" t="n">
        <v>130</v>
      </c>
      <c r="E70" s="8" t="n">
        <v>210</v>
      </c>
    </row>
    <row r="71" customFormat="false" ht="15" hidden="false" customHeight="false" outlineLevel="0" collapsed="false">
      <c r="A71" s="7" t="s">
        <v>89</v>
      </c>
      <c r="B71" s="8" t="n">
        <v>7</v>
      </c>
      <c r="C71" s="8" t="n">
        <v>6</v>
      </c>
      <c r="D71" s="8" t="n">
        <v>4</v>
      </c>
      <c r="E71" s="8" t="n">
        <v>4</v>
      </c>
    </row>
    <row r="72" customFormat="false" ht="15" hidden="false" customHeight="false" outlineLevel="0" collapsed="false">
      <c r="A72" s="7" t="s">
        <v>90</v>
      </c>
      <c r="B72" s="8" t="n">
        <v>13</v>
      </c>
      <c r="C72" s="8" t="n">
        <v>10</v>
      </c>
      <c r="D72" s="8" t="n">
        <v>8</v>
      </c>
      <c r="E72" s="8" t="n">
        <v>8</v>
      </c>
    </row>
    <row r="73" customFormat="false" ht="15" hidden="false" customHeight="false" outlineLevel="0" collapsed="false">
      <c r="A73" s="7" t="s">
        <v>91</v>
      </c>
      <c r="B73" s="8" t="n">
        <v>20</v>
      </c>
      <c r="C73" s="8" t="n">
        <v>15</v>
      </c>
      <c r="D73" s="8" t="n">
        <v>12</v>
      </c>
      <c r="E73" s="8" t="n">
        <v>13</v>
      </c>
    </row>
    <row r="74" customFormat="false" ht="15" hidden="false" customHeight="false" outlineLevel="0" collapsed="false">
      <c r="A74" s="7" t="s">
        <v>92</v>
      </c>
      <c r="B74" s="8" t="n">
        <v>26</v>
      </c>
      <c r="C74" s="8" t="n">
        <v>19</v>
      </c>
      <c r="D74" s="8" t="n">
        <v>15</v>
      </c>
      <c r="E74" s="8" t="n">
        <v>17</v>
      </c>
    </row>
    <row r="75" customFormat="false" ht="15" hidden="false" customHeight="false" outlineLevel="0" collapsed="false">
      <c r="A75" s="7" t="s">
        <v>93</v>
      </c>
      <c r="B75" s="8" t="n">
        <v>32</v>
      </c>
      <c r="C75" s="8" t="n">
        <v>23</v>
      </c>
      <c r="D75" s="8" t="n">
        <v>18</v>
      </c>
      <c r="E75" s="8" t="n">
        <v>21</v>
      </c>
    </row>
    <row r="77" customFormat="false" ht="15" hidden="false" customHeight="false" outlineLevel="0" collapsed="false">
      <c r="A77" s="17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12" t="s">
        <v>26</v>
      </c>
      <c r="B4" s="13" t="s">
        <v>27</v>
      </c>
      <c r="C4" s="13" t="s">
        <v>28</v>
      </c>
      <c r="D4" s="13" t="s">
        <v>29</v>
      </c>
      <c r="E4" s="13" t="s">
        <v>30</v>
      </c>
      <c r="F4" s="13" t="s">
        <v>31</v>
      </c>
    </row>
    <row r="5" customFormat="false" ht="15" hidden="false" customHeight="false" outlineLevel="0" collapsed="false">
      <c r="A5" s="6" t="s">
        <v>97</v>
      </c>
    </row>
    <row r="6" customFormat="false" ht="15" hidden="false" customHeight="false" outlineLevel="0" collapsed="false">
      <c r="A6" s="7" t="s">
        <v>98</v>
      </c>
      <c r="B6" s="18" t="n">
        <f aca="false">(0+Assumptions!B21)*(1-Assumptions!B25)</f>
        <v>27.6</v>
      </c>
      <c r="C6" s="18" t="n">
        <f aca="false">(B6+Assumptions!C21)*(1-Assumptions!C25)</f>
        <v>159.84</v>
      </c>
      <c r="D6" s="18" t="n">
        <f aca="false">(C6+Assumptions!D21)*(1-Assumptions!D25)</f>
        <v>492.6592</v>
      </c>
      <c r="E6" s="18" t="n">
        <f aca="false">(D6+Assumptions!E21)*(1-Assumptions!E25)</f>
        <v>1049.540096</v>
      </c>
      <c r="F6" s="18" t="n">
        <f aca="false">(E6+Assumptions!F21)*(1-Assumptions!F25)</f>
        <v>1715.59528448</v>
      </c>
    </row>
    <row r="7" customFormat="false" ht="15" hidden="false" customHeight="false" outlineLevel="0" collapsed="false">
      <c r="A7" s="7" t="s">
        <v>99</v>
      </c>
      <c r="B7" s="18" t="n">
        <f aca="false">(0+Assumptions!B22)*(1-Assumptions!B25)</f>
        <v>73.6</v>
      </c>
      <c r="C7" s="18" t="n">
        <f aca="false">(B7+Assumptions!C22)*(1-Assumptions!C25)</f>
        <v>606.24</v>
      </c>
      <c r="D7" s="18" t="n">
        <f aca="false">(C7+Assumptions!D22)*(1-Assumptions!D25)</f>
        <v>2469.4912</v>
      </c>
      <c r="E7" s="18" t="n">
        <f aca="false">(D7+Assumptions!E22)*(1-Assumptions!E25)</f>
        <v>5869.152256</v>
      </c>
      <c r="F7" s="18" t="n">
        <f aca="false">(E7+Assumptions!F22)*(1-Assumptions!F25)</f>
        <v>10444.85398528</v>
      </c>
    </row>
    <row r="8" customFormat="false" ht="15" hidden="false" customHeight="false" outlineLevel="0" collapsed="false">
      <c r="A8" s="7" t="s">
        <v>100</v>
      </c>
      <c r="B8" s="18" t="n">
        <f aca="false">(0+Assumptions!B23)*(1-Assumptions!B25)</f>
        <v>9.2</v>
      </c>
      <c r="C8" s="18" t="n">
        <f aca="false">(B8+Assumptions!C23)*(1-Assumptions!C25)</f>
        <v>62.28</v>
      </c>
      <c r="D8" s="18" t="n">
        <f aca="false">(C8+Assumptions!D23)*(1-Assumptions!D25)</f>
        <v>213.2064</v>
      </c>
      <c r="E8" s="18" t="n">
        <f aca="false">(D8+Assumptions!E23)*(1-Assumptions!E25)</f>
        <v>495.621632</v>
      </c>
      <c r="F8" s="18" t="n">
        <f aca="false">(E8+Assumptions!F23)*(1-Assumptions!F25)</f>
        <v>876.14703616</v>
      </c>
    </row>
    <row r="9" customFormat="false" ht="15" hidden="false" customHeight="false" outlineLevel="0" collapsed="false">
      <c r="A9" s="7" t="s">
        <v>101</v>
      </c>
      <c r="B9" s="18" t="n">
        <f aca="false">(0+Assumptions!B24)*(1-Assumptions!B25)</f>
        <v>11.04</v>
      </c>
      <c r="C9" s="18" t="n">
        <f aca="false">(B9+Assumptions!C24)*(1-Assumptions!C25)</f>
        <v>45.936</v>
      </c>
      <c r="D9" s="18" t="n">
        <f aca="false">(C9+Assumptions!D24)*(1-Assumptions!D25)</f>
        <v>119.62368</v>
      </c>
      <c r="E9" s="18" t="n">
        <f aca="false">(D9+Assumptions!E24)*(1-Assumptions!E25)</f>
        <v>237.2688384</v>
      </c>
      <c r="F9" s="18" t="n">
        <f aca="false">(E9+Assumptions!F24)*(1-Assumptions!F25)</f>
        <v>393.596577792</v>
      </c>
    </row>
    <row r="10" customFormat="false" ht="15" hidden="false" customHeight="false" outlineLevel="0" collapsed="false">
      <c r="A10" s="7" t="s">
        <v>102</v>
      </c>
      <c r="B10" s="18" t="n">
        <f aca="false">(0+B6)/2</f>
        <v>13.8</v>
      </c>
      <c r="C10" s="18" t="n">
        <f aca="false">(B6+C6)/2</f>
        <v>93.72</v>
      </c>
      <c r="D10" s="18" t="n">
        <f aca="false">(C6+D6)/2</f>
        <v>326.2496</v>
      </c>
      <c r="E10" s="18" t="n">
        <f aca="false">(D6+E6)/2</f>
        <v>771.099648</v>
      </c>
      <c r="F10" s="18" t="n">
        <f aca="false">(E6+F6)/2</f>
        <v>1382.56769024</v>
      </c>
    </row>
    <row r="11" customFormat="false" ht="15" hidden="false" customHeight="false" outlineLevel="0" collapsed="false">
      <c r="A11" s="7" t="s">
        <v>103</v>
      </c>
      <c r="B11" s="18" t="n">
        <f aca="false">(0+B7)/2</f>
        <v>36.8</v>
      </c>
      <c r="C11" s="18" t="n">
        <f aca="false">(B7+C7)/2</f>
        <v>339.92</v>
      </c>
      <c r="D11" s="18" t="n">
        <f aca="false">(C7+D7)/2</f>
        <v>1537.8656</v>
      </c>
      <c r="E11" s="18" t="n">
        <f aca="false">(D7+E7)/2</f>
        <v>4169.321728</v>
      </c>
      <c r="F11" s="18" t="n">
        <f aca="false">(E7+F7)/2</f>
        <v>8157.00312064</v>
      </c>
    </row>
    <row r="12" customFormat="false" ht="15" hidden="false" customHeight="false" outlineLevel="0" collapsed="false">
      <c r="A12" s="7" t="s">
        <v>104</v>
      </c>
      <c r="B12" s="18" t="n">
        <f aca="false">(0+B8)/2</f>
        <v>4.6</v>
      </c>
      <c r="C12" s="18" t="n">
        <f aca="false">(B8+C8)/2</f>
        <v>35.74</v>
      </c>
      <c r="D12" s="18" t="n">
        <f aca="false">(C8+D8)/2</f>
        <v>137.7432</v>
      </c>
      <c r="E12" s="18" t="n">
        <f aca="false">(D8+E8)/2</f>
        <v>354.414016</v>
      </c>
      <c r="F12" s="18" t="n">
        <f aca="false">(E8+F8)/2</f>
        <v>685.88433408</v>
      </c>
    </row>
    <row r="13" customFormat="false" ht="15" hidden="false" customHeight="false" outlineLevel="0" collapsed="false">
      <c r="A13" s="7" t="s">
        <v>105</v>
      </c>
      <c r="B13" s="18" t="n">
        <f aca="false">(0+B9)/2</f>
        <v>5.52</v>
      </c>
      <c r="C13" s="18" t="n">
        <f aca="false">(B9+C9)/2</f>
        <v>28.488</v>
      </c>
      <c r="D13" s="18" t="n">
        <f aca="false">(C9+D9)/2</f>
        <v>82.77984</v>
      </c>
      <c r="E13" s="18" t="n">
        <f aca="false">(D9+E9)/2</f>
        <v>178.4462592</v>
      </c>
      <c r="F13" s="18" t="n">
        <f aca="false">(E9+F9)/2</f>
        <v>315.432708096</v>
      </c>
    </row>
    <row r="15" customFormat="false" ht="15" hidden="false" customHeight="false" outlineLevel="0" collapsed="false">
      <c r="A15" s="6" t="s">
        <v>106</v>
      </c>
    </row>
    <row r="16" customFormat="false" ht="15" hidden="false" customHeight="false" outlineLevel="0" collapsed="false">
      <c r="A16" s="7" t="s">
        <v>107</v>
      </c>
      <c r="B16" s="19" t="n">
        <f aca="false">B10*Assumptions!$B$11*Assumptions!$B$14*12</f>
        <v>22356</v>
      </c>
      <c r="C16" s="19" t="n">
        <f aca="false">C10*Assumptions!$B$11*Assumptions!$B$14*12</f>
        <v>151826.4</v>
      </c>
      <c r="D16" s="19" t="n">
        <f aca="false">D10*Assumptions!$B$11*Assumptions!$B$14*12</f>
        <v>528524.352</v>
      </c>
      <c r="E16" s="19" t="n">
        <f aca="false">E10*Assumptions!$B$11*Assumptions!$B$14*12</f>
        <v>1249181.42976</v>
      </c>
      <c r="F16" s="19" t="n">
        <f aca="false">F10*Assumptions!$B$11*Assumptions!$B$14*12</f>
        <v>2239759.6581888</v>
      </c>
    </row>
    <row r="17" customFormat="false" ht="15" hidden="false" customHeight="false" outlineLevel="0" collapsed="false">
      <c r="A17" s="7" t="s">
        <v>108</v>
      </c>
      <c r="B17" s="19" t="n">
        <f aca="false">B11*Assumptions!$B$15*12</f>
        <v>8390.4</v>
      </c>
      <c r="C17" s="19" t="n">
        <f aca="false">C11*Assumptions!$B$15*12</f>
        <v>77501.76</v>
      </c>
      <c r="D17" s="19" t="n">
        <f aca="false">D11*Assumptions!$B$15*12</f>
        <v>350633.3568</v>
      </c>
      <c r="E17" s="19" t="n">
        <f aca="false">E11*Assumptions!$B$15*12</f>
        <v>950605.353984</v>
      </c>
      <c r="F17" s="19" t="n">
        <f aca="false">F11*Assumptions!$B$15*12</f>
        <v>1859796.71150592</v>
      </c>
    </row>
    <row r="18" customFormat="false" ht="15" hidden="false" customHeight="false" outlineLevel="0" collapsed="false">
      <c r="A18" s="7" t="s">
        <v>109</v>
      </c>
      <c r="B18" s="19" t="n">
        <f aca="false">B12*Assumptions!$B$16*12</f>
        <v>33120</v>
      </c>
      <c r="C18" s="19" t="n">
        <f aca="false">C12*Assumptions!$B$16*12</f>
        <v>257328</v>
      </c>
      <c r="D18" s="19" t="n">
        <f aca="false">D12*Assumptions!$B$16*12</f>
        <v>991751.04</v>
      </c>
      <c r="E18" s="19" t="n">
        <f aca="false">E12*Assumptions!$B$16*12</f>
        <v>2551780.9152</v>
      </c>
      <c r="F18" s="19" t="n">
        <f aca="false">F12*Assumptions!$B$16*12</f>
        <v>4938367.205376</v>
      </c>
    </row>
    <row r="19" customFormat="false" ht="15" hidden="false" customHeight="false" outlineLevel="0" collapsed="false">
      <c r="A19" s="7" t="s">
        <v>110</v>
      </c>
      <c r="B19" s="19" t="n">
        <f aca="false">B13*Assumptions!$B$17*12</f>
        <v>82800</v>
      </c>
      <c r="C19" s="19" t="n">
        <f aca="false">C13*Assumptions!$B$17*12</f>
        <v>427320</v>
      </c>
      <c r="D19" s="19" t="n">
        <f aca="false">D13*Assumptions!$B$17*12</f>
        <v>1241697.6</v>
      </c>
      <c r="E19" s="19" t="n">
        <f aca="false">E13*Assumptions!$B$17*12</f>
        <v>2676693.888</v>
      </c>
      <c r="F19" s="19" t="n">
        <f aca="false">F13*Assumptions!$B$17*12</f>
        <v>4731490.62144</v>
      </c>
    </row>
    <row r="20" customFormat="false" ht="15" hidden="false" customHeight="false" outlineLevel="0" collapsed="false">
      <c r="A20" s="20" t="s">
        <v>111</v>
      </c>
      <c r="B20" s="21" t="n">
        <f aca="false">SUM(B16:B19)</f>
        <v>146666.4</v>
      </c>
      <c r="C20" s="21" t="n">
        <f aca="false">SUM(C16:C19)</f>
        <v>913976.16</v>
      </c>
      <c r="D20" s="21" t="n">
        <f aca="false">SUM(D16:D19)</f>
        <v>3112606.3488</v>
      </c>
      <c r="E20" s="21" t="n">
        <f aca="false">SUM(E16:E19)</f>
        <v>7428261.586944</v>
      </c>
      <c r="F20" s="21" t="n">
        <f aca="false">SUM(F16:F19)</f>
        <v>13769414.1965107</v>
      </c>
    </row>
    <row r="21" customFormat="false" ht="15" hidden="false" customHeight="false" outlineLevel="0" collapsed="false">
      <c r="A21" s="7" t="s">
        <v>112</v>
      </c>
      <c r="B21" s="22" t="s">
        <v>113</v>
      </c>
      <c r="C21" s="22" t="n">
        <f aca="false">IFERROR(C20/B20-1,0)</f>
        <v>5.23166696666721</v>
      </c>
      <c r="D21" s="22" t="n">
        <f aca="false">IFERROR(D20/C20-1,0)</f>
        <v>2.40556623358754</v>
      </c>
      <c r="E21" s="22" t="n">
        <f aca="false">IFERROR(E20/D20-1,0)</f>
        <v>1.38650852518109</v>
      </c>
      <c r="F21" s="22" t="n">
        <f aca="false">IFERROR(F20/E20-1,0)</f>
        <v>0.853652302809584</v>
      </c>
    </row>
    <row r="23" customFormat="false" ht="15" hidden="false" customHeight="false" outlineLevel="0" collapsed="false">
      <c r="A23" s="6" t="s">
        <v>114</v>
      </c>
    </row>
    <row r="24" customFormat="false" ht="15" hidden="false" customHeight="false" outlineLevel="0" collapsed="false">
      <c r="A24" s="7" t="s">
        <v>115</v>
      </c>
      <c r="B24" s="19" t="n">
        <f aca="false">-(B20*Assumptions!$B$28+Assumptions!$B$29)</f>
        <v>-96399.952</v>
      </c>
      <c r="C24" s="19" t="n">
        <f aca="false">-(C20*Assumptions!$B$28+Assumptions!$B$29)</f>
        <v>-234515.7088</v>
      </c>
      <c r="D24" s="19" t="n">
        <f aca="false">-(D20*Assumptions!$B$28+Assumptions!$B$29)</f>
        <v>-630269.142784</v>
      </c>
      <c r="E24" s="19" t="n">
        <f aca="false">-(E20*Assumptions!$B$28+Assumptions!$B$29)</f>
        <v>-1407087.08564992</v>
      </c>
      <c r="F24" s="19" t="n">
        <f aca="false">-(F20*Assumptions!$B$28+Assumptions!$B$29)</f>
        <v>-2548494.55537193</v>
      </c>
    </row>
    <row r="25" customFormat="false" ht="15" hidden="false" customHeight="false" outlineLevel="0" collapsed="false">
      <c r="A25" s="20" t="s">
        <v>116</v>
      </c>
      <c r="B25" s="21" t="n">
        <f aca="false">B20+B24</f>
        <v>50266.448</v>
      </c>
      <c r="C25" s="21" t="n">
        <f aca="false">C20+C24</f>
        <v>679460.4512</v>
      </c>
      <c r="D25" s="21" t="n">
        <f aca="false">D20+D24</f>
        <v>2482337.206016</v>
      </c>
      <c r="E25" s="21" t="n">
        <f aca="false">E20+E24</f>
        <v>6021174.50129408</v>
      </c>
      <c r="F25" s="21" t="n">
        <f aca="false">F20+F24</f>
        <v>11220919.6411388</v>
      </c>
    </row>
    <row r="26" customFormat="false" ht="15" hidden="false" customHeight="false" outlineLevel="0" collapsed="false">
      <c r="A26" s="7" t="s">
        <v>117</v>
      </c>
      <c r="B26" s="22" t="n">
        <f aca="false">IFERROR(B25/B20,0)</f>
        <v>0.3427264049571</v>
      </c>
      <c r="C26" s="22" t="n">
        <f aca="false">IFERROR(C25/C20,0)</f>
        <v>0.743411569071999</v>
      </c>
      <c r="D26" s="22" t="n">
        <f aca="false">IFERROR(D25/D20,0)</f>
        <v>0.797510808577838</v>
      </c>
      <c r="E26" s="22" t="n">
        <f aca="false">IFERROR(E25/E20,0)</f>
        <v>0.810576530029175</v>
      </c>
      <c r="F26" s="22" t="n">
        <f aca="false">IFERROR(F25/F20,0)</f>
        <v>0.814916268840418</v>
      </c>
    </row>
    <row r="27" customFormat="false" ht="15" hidden="false" customHeight="false" outlineLevel="0" collapsed="false">
      <c r="A27" s="7" t="s">
        <v>118</v>
      </c>
      <c r="B27" s="19" t="n">
        <f aca="false">-Assumptions!B33*Assumptions!B34</f>
        <v>-600000</v>
      </c>
      <c r="C27" s="19" t="n">
        <f aca="false">-Assumptions!C33*Assumptions!C34</f>
        <v>-1236000</v>
      </c>
      <c r="D27" s="19" t="n">
        <f aca="false">-Assumptions!D33*Assumptions!D34</f>
        <v>-2068755</v>
      </c>
      <c r="E27" s="19" t="n">
        <f aca="false">-Assumptions!E33*Assumptions!E34</f>
        <v>-2786453</v>
      </c>
      <c r="F27" s="19" t="n">
        <f aca="false">-Assumptions!F33*Assumptions!F34</f>
        <v>-3545346</v>
      </c>
    </row>
    <row r="28" customFormat="false" ht="15" hidden="false" customHeight="false" outlineLevel="0" collapsed="false">
      <c r="A28" s="7" t="s">
        <v>119</v>
      </c>
      <c r="B28" s="19" t="n">
        <f aca="false">-MAX(B20*Assumptions!B35,Assumptions!B36)</f>
        <v>-300000</v>
      </c>
      <c r="C28" s="19" t="n">
        <f aca="false">-MAX(C20*Assumptions!C35,Assumptions!C36)</f>
        <v>-500000</v>
      </c>
      <c r="D28" s="19" t="n">
        <f aca="false">-MAX(D20*Assumptions!D35,Assumptions!D36)</f>
        <v>-750000</v>
      </c>
      <c r="E28" s="19" t="n">
        <f aca="false">-MAX(E20*Assumptions!E35,Assumptions!E36)</f>
        <v>-1188521.85391104</v>
      </c>
      <c r="F28" s="19" t="n">
        <f aca="false">-MAX(F20*Assumptions!F35,Assumptions!F36)</f>
        <v>-1927717.9875115</v>
      </c>
    </row>
    <row r="29" customFormat="false" ht="15" hidden="false" customHeight="false" outlineLevel="0" collapsed="false">
      <c r="A29" s="7" t="s">
        <v>120</v>
      </c>
      <c r="B29" s="19" t="n">
        <f aca="false">-Assumptions!B37</f>
        <v>-120000</v>
      </c>
      <c r="C29" s="19" t="n">
        <f aca="false">-Assumptions!C37</f>
        <v>-160000</v>
      </c>
      <c r="D29" s="19" t="n">
        <f aca="false">-Assumptions!D37</f>
        <v>-200000</v>
      </c>
      <c r="E29" s="19" t="n">
        <f aca="false">-Assumptions!E37</f>
        <v>-230000</v>
      </c>
      <c r="F29" s="19" t="n">
        <f aca="false">-Assumptions!F37</f>
        <v>-260000</v>
      </c>
    </row>
    <row r="30" customFormat="false" ht="15" hidden="false" customHeight="false" outlineLevel="0" collapsed="false">
      <c r="A30" s="7" t="s">
        <v>121</v>
      </c>
      <c r="B30" s="19" t="n">
        <f aca="false">-Assumptions!B33*Assumptions!B38</f>
        <v>-36000</v>
      </c>
      <c r="C30" s="19" t="n">
        <f aca="false">-Assumptions!C33*Assumptions!C38</f>
        <v>-72000</v>
      </c>
      <c r="D30" s="19" t="n">
        <f aca="false">-Assumptions!D33*Assumptions!D38</f>
        <v>-123500</v>
      </c>
      <c r="E30" s="19" t="n">
        <f aca="false">-Assumptions!E33*Assumptions!E38</f>
        <v>-161500</v>
      </c>
      <c r="F30" s="19" t="n">
        <f aca="false">-Assumptions!F33*Assumptions!F38</f>
        <v>-210000</v>
      </c>
    </row>
    <row r="31" customFormat="false" ht="15" hidden="false" customHeight="false" outlineLevel="0" collapsed="false">
      <c r="A31" s="20" t="s">
        <v>122</v>
      </c>
      <c r="B31" s="21" t="n">
        <f aca="false">B25+SUM(B27:B30)</f>
        <v>-1005733.552</v>
      </c>
      <c r="C31" s="21" t="n">
        <f aca="false">C25+SUM(C27:C30)</f>
        <v>-1288539.5488</v>
      </c>
      <c r="D31" s="21" t="n">
        <f aca="false">D25+SUM(D27:D30)</f>
        <v>-659917.793984</v>
      </c>
      <c r="E31" s="21" t="n">
        <f aca="false">E25+SUM(E27:E30)</f>
        <v>1654699.64738304</v>
      </c>
      <c r="F31" s="21" t="n">
        <f aca="false">F25+SUM(F27:F30)</f>
        <v>5277855.65362729</v>
      </c>
    </row>
    <row r="32" customFormat="false" ht="15" hidden="false" customHeight="false" outlineLevel="0" collapsed="false">
      <c r="A32" s="7" t="s">
        <v>123</v>
      </c>
      <c r="B32" s="22" t="n">
        <f aca="false">IFERROR(B31/B20,0)</f>
        <v>-6.85728668597579</v>
      </c>
      <c r="C32" s="22" t="n">
        <f aca="false">IFERROR(C31/C20,0)</f>
        <v>-1.40981746044667</v>
      </c>
      <c r="D32" s="22" t="n">
        <f aca="false">IFERROR(D31/D20,0)</f>
        <v>-0.212014537025672</v>
      </c>
      <c r="E32" s="22" t="n">
        <f aca="false">IFERROR(E31/E20,0)</f>
        <v>0.222757320540698</v>
      </c>
      <c r="F32" s="22" t="n">
        <f aca="false">IFERROR(F31/F20,0)</f>
        <v>0.383302846316058</v>
      </c>
    </row>
    <row r="33" customFormat="false" ht="15" hidden="false" customHeight="false" outlineLevel="0" collapsed="false">
      <c r="A33" s="7" t="s">
        <v>124</v>
      </c>
      <c r="B33" s="19" t="n">
        <f aca="false">-Assumptions!B33*Assumptions!$B$45</f>
        <v>-16000</v>
      </c>
      <c r="C33" s="19" t="n">
        <f aca="false">-Assumptions!C33*Assumptions!$B$45</f>
        <v>-32000</v>
      </c>
      <c r="D33" s="19" t="n">
        <f aca="false">-Assumptions!D33*Assumptions!$B$45</f>
        <v>-52000</v>
      </c>
      <c r="E33" s="19" t="n">
        <f aca="false">-Assumptions!E33*Assumptions!$B$45</f>
        <v>-68000</v>
      </c>
      <c r="F33" s="19" t="n">
        <f aca="false">-Assumptions!F33*Assumptions!$B$45</f>
        <v>-84000</v>
      </c>
    </row>
    <row r="34" customFormat="false" ht="15" hidden="false" customHeight="false" outlineLevel="0" collapsed="false">
      <c r="A34" s="7" t="s">
        <v>125</v>
      </c>
      <c r="B34" s="19" t="n">
        <f aca="false">SUM(B33:B33)/Assumptions!$B$46</f>
        <v>-5333.33333333333</v>
      </c>
      <c r="C34" s="19" t="n">
        <f aca="false">SUM(B33:C33)/Assumptions!$B$46</f>
        <v>-16000</v>
      </c>
      <c r="D34" s="19" t="n">
        <f aca="false">SUM(B33:D33)/Assumptions!$B$46</f>
        <v>-33333.3333333333</v>
      </c>
      <c r="E34" s="19" t="n">
        <f aca="false">SUM(C33:E33)/Assumptions!$B$46</f>
        <v>-50666.6666666667</v>
      </c>
      <c r="F34" s="19" t="n">
        <f aca="false">SUM(D33:F33)/Assumptions!$B$46</f>
        <v>-68000</v>
      </c>
    </row>
    <row r="35" customFormat="false" ht="15" hidden="false" customHeight="false" outlineLevel="0" collapsed="false">
      <c r="A35" s="20" t="s">
        <v>126</v>
      </c>
      <c r="B35" s="21" t="n">
        <f aca="false">B31+B34</f>
        <v>-1011066.88533333</v>
      </c>
      <c r="C35" s="21" t="n">
        <f aca="false">C31+C34</f>
        <v>-1304539.5488</v>
      </c>
      <c r="D35" s="21" t="n">
        <f aca="false">D31+D34</f>
        <v>-693251.127317333</v>
      </c>
      <c r="E35" s="21" t="n">
        <f aca="false">E31+E34</f>
        <v>1604032.98071637</v>
      </c>
      <c r="F35" s="21" t="n">
        <f aca="false">F31+F34</f>
        <v>5209855.65362729</v>
      </c>
    </row>
    <row r="36" customFormat="false" ht="15" hidden="false" customHeight="false" outlineLevel="0" collapsed="false">
      <c r="A36" s="7" t="s">
        <v>127</v>
      </c>
      <c r="B36" s="19" t="n">
        <f aca="false">0</f>
        <v>0</v>
      </c>
      <c r="C36" s="19" t="n">
        <f aca="false">B39</f>
        <v>1011066.88533333</v>
      </c>
      <c r="D36" s="19" t="n">
        <f aca="false">C39</f>
        <v>2315606.43413333</v>
      </c>
      <c r="E36" s="19" t="n">
        <f aca="false">D39</f>
        <v>3008857.56145067</v>
      </c>
      <c r="F36" s="19" t="n">
        <f aca="false">E39</f>
        <v>1404824.58073429</v>
      </c>
    </row>
    <row r="37" customFormat="false" ht="15" hidden="false" customHeight="false" outlineLevel="0" collapsed="false">
      <c r="A37" s="7" t="s">
        <v>128</v>
      </c>
      <c r="B37" s="19" t="n">
        <f aca="false">MIN(B36,MAX(0,B35))</f>
        <v>0</v>
      </c>
      <c r="C37" s="19" t="n">
        <f aca="false">MIN(C36,MAX(0,C35))</f>
        <v>0</v>
      </c>
      <c r="D37" s="19" t="n">
        <f aca="false">MIN(D36,MAX(0,D35))</f>
        <v>0</v>
      </c>
      <c r="E37" s="19" t="n">
        <f aca="false">MIN(E36,MAX(0,E35))</f>
        <v>1604032.98071637</v>
      </c>
      <c r="F37" s="19" t="n">
        <f aca="false">MIN(F36,MAX(0,F35))</f>
        <v>1404824.58073429</v>
      </c>
    </row>
    <row r="38" customFormat="false" ht="15" hidden="false" customHeight="false" outlineLevel="0" collapsed="false">
      <c r="A38" s="7" t="s">
        <v>129</v>
      </c>
      <c r="B38" s="19" t="n">
        <f aca="false">MAX(0,B35-B37)</f>
        <v>0</v>
      </c>
      <c r="C38" s="19" t="n">
        <f aca="false">MAX(0,C35-C37)</f>
        <v>0</v>
      </c>
      <c r="D38" s="19" t="n">
        <f aca="false">MAX(0,D35-D37)</f>
        <v>0</v>
      </c>
      <c r="E38" s="19" t="n">
        <f aca="false">MAX(0,E35-E37)</f>
        <v>0</v>
      </c>
      <c r="F38" s="19" t="n">
        <f aca="false">MAX(0,F35-F37)</f>
        <v>3805031.072893</v>
      </c>
    </row>
    <row r="39" customFormat="false" ht="15" hidden="false" customHeight="false" outlineLevel="0" collapsed="false">
      <c r="A39" s="7" t="s">
        <v>130</v>
      </c>
      <c r="B39" s="19" t="n">
        <f aca="false">B36-B37+MAX(0,-B35)</f>
        <v>1011066.88533333</v>
      </c>
      <c r="C39" s="19" t="n">
        <f aca="false">C36-C37+MAX(0,-C35)</f>
        <v>2315606.43413333</v>
      </c>
      <c r="D39" s="19" t="n">
        <f aca="false">D36-D37+MAX(0,-D35)</f>
        <v>3008857.56145067</v>
      </c>
      <c r="E39" s="19" t="n">
        <f aca="false">E36-E37+MAX(0,-E35)</f>
        <v>1404824.58073429</v>
      </c>
      <c r="F39" s="19" t="n">
        <f aca="false">F36-F37+MAX(0,-F35)</f>
        <v>0</v>
      </c>
    </row>
    <row r="40" customFormat="false" ht="15" hidden="false" customHeight="false" outlineLevel="0" collapsed="false">
      <c r="A40" s="7" t="s">
        <v>131</v>
      </c>
      <c r="B40" s="19" t="n">
        <f aca="false">-B38*Assumptions!$B$47</f>
        <v>-0</v>
      </c>
      <c r="C40" s="19" t="n">
        <f aca="false">-C38*Assumptions!$B$47</f>
        <v>-0</v>
      </c>
      <c r="D40" s="19" t="n">
        <f aca="false">-D38*Assumptions!$B$47</f>
        <v>-0</v>
      </c>
      <c r="E40" s="19" t="n">
        <f aca="false">-E38*Assumptions!$B$47</f>
        <v>-0</v>
      </c>
      <c r="F40" s="19" t="n">
        <f aca="false">-F38*Assumptions!$B$47</f>
        <v>-951257.76822325</v>
      </c>
    </row>
    <row r="41" customFormat="false" ht="15" hidden="false" customHeight="false" outlineLevel="0" collapsed="false">
      <c r="A41" s="23" t="s">
        <v>132</v>
      </c>
      <c r="B41" s="24" t="n">
        <f aca="false">B35+B40</f>
        <v>-1011066.88533333</v>
      </c>
      <c r="C41" s="24" t="n">
        <f aca="false">C35+C40</f>
        <v>-1304539.5488</v>
      </c>
      <c r="D41" s="24" t="n">
        <f aca="false">D35+D40</f>
        <v>-693251.127317333</v>
      </c>
      <c r="E41" s="24" t="n">
        <f aca="false">E35+E40</f>
        <v>1604032.98071637</v>
      </c>
      <c r="F41" s="24" t="n">
        <f aca="false">F35+F40</f>
        <v>4258597.88540404</v>
      </c>
    </row>
    <row r="43" customFormat="false" ht="15" hidden="false" customHeight="false" outlineLevel="0" collapsed="false">
      <c r="A43" s="6" t="s">
        <v>133</v>
      </c>
    </row>
    <row r="44" customFormat="false" ht="15" hidden="false" customHeight="false" outlineLevel="0" collapsed="false">
      <c r="A44" s="7" t="s">
        <v>134</v>
      </c>
      <c r="B44" s="19" t="n">
        <f aca="false">-B34</f>
        <v>5333.33333333333</v>
      </c>
      <c r="C44" s="19" t="n">
        <f aca="false">-C34</f>
        <v>16000</v>
      </c>
      <c r="D44" s="19" t="n">
        <f aca="false">-D34</f>
        <v>33333.3333333333</v>
      </c>
      <c r="E44" s="19" t="n">
        <f aca="false">-E34</f>
        <v>50666.6666666667</v>
      </c>
      <c r="F44" s="19" t="n">
        <f aca="false">-F34</f>
        <v>68000</v>
      </c>
    </row>
    <row r="45" customFormat="false" ht="15" hidden="false" customHeight="false" outlineLevel="0" collapsed="false">
      <c r="A45" s="7" t="s">
        <v>135</v>
      </c>
      <c r="B45" s="19" t="n">
        <f aca="false">-(B20-0)*Assumptions!$B$41/365</f>
        <v>-14063.901369863</v>
      </c>
      <c r="C45" s="19" t="n">
        <f aca="false">-(C20-B20)*Assumptions!$B$41/365</f>
        <v>-73577.6482191781</v>
      </c>
      <c r="D45" s="19" t="n">
        <f aca="false">-(D20-C20)*Assumptions!$B$41/365</f>
        <v>-210827.552350685</v>
      </c>
      <c r="E45" s="19" t="n">
        <f aca="false">-(E20-D20)*Assumptions!$B$41/365</f>
        <v>-413829.954342575</v>
      </c>
      <c r="F45" s="19" t="n">
        <f aca="false">-(F20-E20)*Assumptions!$B$41/365</f>
        <v>-608055.72968448</v>
      </c>
    </row>
    <row r="46" customFormat="false" ht="15" hidden="false" customHeight="false" outlineLevel="0" collapsed="false">
      <c r="A46" s="7" t="s">
        <v>136</v>
      </c>
      <c r="B46" s="19" t="n">
        <f aca="false">-(B24+SUM(B27:B30)-(0))*Assumptions!$B$42/365</f>
        <v>94717.8042739726</v>
      </c>
      <c r="C46" s="19" t="n">
        <f aca="false">-(C24+SUM(C27:C30)-(B24+SUM(B27:B30)))*Assumptions!$B$42/365</f>
        <v>86310.884120548</v>
      </c>
      <c r="D46" s="19" t="n">
        <f aca="false">-(D24+SUM(D27:D30)-(C24+SUM(C27:C30)))*Assumptions!$B$42/365</f>
        <v>129041.789094575</v>
      </c>
      <c r="E46" s="19" t="n">
        <f aca="false">-(E24+SUM(E27:E30)-(D24+SUM(D27:D30)))*Assumptions!$B$42/365</f>
        <v>164468.860009065</v>
      </c>
      <c r="F46" s="19" t="n">
        <f aca="false">-(F24+SUM(F27:F30)-(E24+SUM(E27:E30)))*Assumptions!$B$42/365</f>
        <v>223396.981094997</v>
      </c>
    </row>
    <row r="47" customFormat="false" ht="15" hidden="false" customHeight="false" outlineLevel="0" collapsed="false">
      <c r="A47" s="7" t="s">
        <v>124</v>
      </c>
      <c r="B47" s="19" t="n">
        <f aca="false">B33</f>
        <v>-16000</v>
      </c>
      <c r="C47" s="19" t="n">
        <f aca="false">C33</f>
        <v>-32000</v>
      </c>
      <c r="D47" s="19" t="n">
        <f aca="false">D33</f>
        <v>-52000</v>
      </c>
      <c r="E47" s="19" t="n">
        <f aca="false">E33</f>
        <v>-68000</v>
      </c>
      <c r="F47" s="19" t="n">
        <f aca="false">F33</f>
        <v>-84000</v>
      </c>
    </row>
    <row r="48" customFormat="false" ht="15" hidden="false" customHeight="false" outlineLevel="0" collapsed="false">
      <c r="A48" s="20" t="s">
        <v>137</v>
      </c>
      <c r="B48" s="21" t="n">
        <f aca="false">B41+B44+B45+B46+B33</f>
        <v>-941079.649095891</v>
      </c>
      <c r="C48" s="21" t="n">
        <f aca="false">C41+C44+C45+C46+C33</f>
        <v>-1307806.31289863</v>
      </c>
      <c r="D48" s="21" t="n">
        <f aca="false">D41+D44+D45+D46+D33</f>
        <v>-793703.557240109</v>
      </c>
      <c r="E48" s="21" t="n">
        <f aca="false">E41+E44+E45+E46+E33</f>
        <v>1337338.55304953</v>
      </c>
      <c r="F48" s="21" t="n">
        <f aca="false">F41+F44+F45+F46+F33</f>
        <v>3857939.13681456</v>
      </c>
    </row>
    <row r="49" customFormat="false" ht="15" hidden="false" customHeight="false" outlineLevel="0" collapsed="false">
      <c r="A49" s="7" t="s">
        <v>138</v>
      </c>
      <c r="B49" s="19" t="n">
        <f aca="false">Assumptions!$B$43</f>
        <v>0</v>
      </c>
      <c r="C49" s="19" t="n">
        <f aca="false">B50</f>
        <v>-941079.649095891</v>
      </c>
      <c r="D49" s="19" t="n">
        <f aca="false">C50</f>
        <v>-2248885.96199452</v>
      </c>
      <c r="E49" s="19" t="n">
        <f aca="false">D50</f>
        <v>-3042589.51923463</v>
      </c>
      <c r="F49" s="19" t="n">
        <f aca="false">E50</f>
        <v>-1705250.9661851</v>
      </c>
    </row>
    <row r="50" customFormat="false" ht="15" hidden="false" customHeight="false" outlineLevel="0" collapsed="false">
      <c r="A50" s="20" t="s">
        <v>139</v>
      </c>
      <c r="B50" s="21" t="n">
        <f aca="false">B49+B48</f>
        <v>-941079.649095891</v>
      </c>
      <c r="C50" s="21" t="n">
        <f aca="false">C49+C48</f>
        <v>-2248885.96199452</v>
      </c>
      <c r="D50" s="21" t="n">
        <f aca="false">D49+D48</f>
        <v>-3042589.51923463</v>
      </c>
      <c r="E50" s="21" t="n">
        <f aca="false">E49+E48</f>
        <v>-1705250.9661851</v>
      </c>
      <c r="F50" s="21" t="n">
        <f aca="false">F49+F48</f>
        <v>2152688.17062946</v>
      </c>
    </row>
    <row r="52" customFormat="false" ht="15" hidden="false" customHeight="false" outlineLevel="0" collapsed="false">
      <c r="A52" s="6" t="s">
        <v>140</v>
      </c>
    </row>
    <row r="53" customFormat="false" ht="15" hidden="false" customHeight="false" outlineLevel="0" collapsed="false">
      <c r="A53" s="7" t="s">
        <v>141</v>
      </c>
      <c r="B53" s="21" t="n">
        <f aca="false">MIN(B50:F50)</f>
        <v>-3042589.51923463</v>
      </c>
    </row>
    <row r="54" customFormat="false" ht="15" hidden="false" customHeight="false" outlineLevel="0" collapsed="false">
      <c r="A54" s="7" t="s">
        <v>142</v>
      </c>
      <c r="B54" s="25" t="n">
        <f aca="false">-Assumptions!$B$44</f>
        <v>-600000</v>
      </c>
    </row>
    <row r="55" customFormat="false" ht="15" hidden="false" customHeight="false" outlineLevel="0" collapsed="false">
      <c r="A55" s="20" t="s">
        <v>143</v>
      </c>
      <c r="B55" s="24" t="n">
        <f aca="false">-MIN(0,B53+B54)</f>
        <v>3642589.51923463</v>
      </c>
    </row>
    <row r="57" customFormat="false" ht="15" hidden="false" customHeight="false" outlineLevel="0" collapsed="false">
      <c r="A57" s="17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3" min="2" style="0" width="15"/>
    <col collapsed="false" customWidth="true" hidden="false" outlineLevel="0" max="4" min="4" style="0" width="70"/>
    <col collapsed="false" customWidth="true" hidden="false" outlineLevel="0" max="6" min="5" style="0" width="15"/>
  </cols>
  <sheetData>
    <row r="1" customFormat="false" ht="17.3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15" hidden="false" customHeight="false" outlineLevel="0" collapsed="false">
      <c r="A4" s="12" t="s">
        <v>147</v>
      </c>
      <c r="B4" s="13" t="s">
        <v>27</v>
      </c>
      <c r="C4" s="13" t="s">
        <v>28</v>
      </c>
      <c r="D4" s="13" t="s">
        <v>29</v>
      </c>
      <c r="E4" s="13" t="s">
        <v>30</v>
      </c>
      <c r="F4" s="13" t="s">
        <v>31</v>
      </c>
    </row>
    <row r="5" customFormat="false" ht="15" hidden="false" customHeight="false" outlineLevel="0" collapsed="false">
      <c r="A5" s="6" t="s">
        <v>148</v>
      </c>
    </row>
    <row r="6" customFormat="false" ht="15" hidden="false" customHeight="false" outlineLevel="0" collapsed="false">
      <c r="A6" s="3" t="s">
        <v>149</v>
      </c>
    </row>
    <row r="7" customFormat="false" ht="15" hidden="false" customHeight="false" outlineLevel="0" collapsed="false">
      <c r="A7" s="7" t="s">
        <v>150</v>
      </c>
      <c r="B7" s="19" t="n">
        <v>88320</v>
      </c>
      <c r="C7" s="19" t="n">
        <v>620598</v>
      </c>
      <c r="D7" s="19" t="n">
        <v>2270523</v>
      </c>
      <c r="E7" s="19" t="n">
        <v>5651820</v>
      </c>
      <c r="F7" s="19" t="n">
        <v>10720882</v>
      </c>
    </row>
    <row r="8" customFormat="false" ht="15" hidden="false" customHeight="false" outlineLevel="0" collapsed="false">
      <c r="A8" s="20" t="s">
        <v>151</v>
      </c>
      <c r="B8" s="21" t="n">
        <v>-1530578</v>
      </c>
      <c r="C8" s="21" t="n">
        <v>-2346610</v>
      </c>
      <c r="D8" s="21" t="n">
        <v>-2530871</v>
      </c>
      <c r="E8" s="21" t="n">
        <v>-1174143</v>
      </c>
      <c r="F8" s="21" t="n">
        <v>1237757</v>
      </c>
    </row>
    <row r="9" customFormat="false" ht="15" hidden="false" customHeight="false" outlineLevel="0" collapsed="false">
      <c r="A9" s="7" t="s">
        <v>152</v>
      </c>
      <c r="B9" s="19" t="n">
        <v>-1539911</v>
      </c>
      <c r="C9" s="19" t="n">
        <v>-2373276</v>
      </c>
      <c r="D9" s="19" t="n">
        <v>-2584205</v>
      </c>
      <c r="E9" s="19" t="n">
        <v>-1252810</v>
      </c>
      <c r="F9" s="19" t="n">
        <v>1133757</v>
      </c>
    </row>
    <row r="10" customFormat="false" ht="15" hidden="false" customHeight="false" outlineLevel="0" collapsed="false">
      <c r="A10" s="20" t="s">
        <v>153</v>
      </c>
      <c r="B10" s="21" t="n">
        <v>-1433987</v>
      </c>
      <c r="C10" s="21" t="n">
        <v>-3772817</v>
      </c>
      <c r="D10" s="21" t="n">
        <v>-6391145</v>
      </c>
      <c r="E10" s="21" t="n">
        <v>-7827119</v>
      </c>
      <c r="F10" s="21" t="n">
        <v>-6985039</v>
      </c>
    </row>
    <row r="12" customFormat="false" ht="15" hidden="false" customHeight="false" outlineLevel="0" collapsed="false">
      <c r="A12" s="6" t="s">
        <v>154</v>
      </c>
    </row>
    <row r="13" customFormat="false" ht="15" hidden="false" customHeight="false" outlineLevel="0" collapsed="false">
      <c r="A13" s="3" t="s">
        <v>155</v>
      </c>
    </row>
    <row r="14" customFormat="false" ht="15" hidden="false" customHeight="false" outlineLevel="0" collapsed="false">
      <c r="A14" s="7" t="s">
        <v>150</v>
      </c>
      <c r="B14" s="19" t="n">
        <v>88320</v>
      </c>
      <c r="C14" s="19" t="n">
        <v>620598</v>
      </c>
      <c r="D14" s="19" t="n">
        <v>2270523</v>
      </c>
      <c r="E14" s="19" t="n">
        <v>5651820</v>
      </c>
      <c r="F14" s="19" t="n">
        <v>10720882</v>
      </c>
    </row>
    <row r="15" customFormat="false" ht="15" hidden="false" customHeight="false" outlineLevel="0" collapsed="false">
      <c r="A15" s="20" t="s">
        <v>151</v>
      </c>
      <c r="B15" s="21" t="n">
        <v>-1371578</v>
      </c>
      <c r="C15" s="21" t="n">
        <v>-1856110</v>
      </c>
      <c r="D15" s="21" t="n">
        <v>-1687696</v>
      </c>
      <c r="E15" s="21" t="n">
        <v>39720</v>
      </c>
      <c r="F15" s="21" t="n">
        <v>2847194</v>
      </c>
    </row>
    <row r="16" customFormat="false" ht="15" hidden="false" customHeight="false" outlineLevel="0" collapsed="false">
      <c r="A16" s="7" t="s">
        <v>152</v>
      </c>
      <c r="B16" s="19" t="n">
        <v>-1379578</v>
      </c>
      <c r="C16" s="19" t="n">
        <v>-1877443</v>
      </c>
      <c r="D16" s="19" t="n">
        <v>-1729030</v>
      </c>
      <c r="E16" s="19" t="n">
        <v>-18946</v>
      </c>
      <c r="F16" s="19" t="n">
        <v>2771194</v>
      </c>
    </row>
    <row r="17" customFormat="false" ht="15" hidden="false" customHeight="false" outlineLevel="0" collapsed="false">
      <c r="A17" s="20" t="s">
        <v>153</v>
      </c>
      <c r="B17" s="21" t="n">
        <v>-1284055</v>
      </c>
      <c r="C17" s="21" t="n">
        <v>-3147632</v>
      </c>
      <c r="D17" s="21" t="n">
        <v>-4931772</v>
      </c>
      <c r="E17" s="21" t="n">
        <v>-5156350</v>
      </c>
      <c r="F17" s="21" t="n">
        <v>-2701347</v>
      </c>
    </row>
    <row r="19" customFormat="false" ht="15" hidden="false" customHeight="false" outlineLevel="0" collapsed="false">
      <c r="A19" s="6" t="s">
        <v>156</v>
      </c>
    </row>
    <row r="20" customFormat="false" ht="15" hidden="false" customHeight="false" outlineLevel="0" collapsed="false">
      <c r="A20" s="3" t="s">
        <v>157</v>
      </c>
    </row>
    <row r="21" customFormat="false" ht="15" hidden="false" customHeight="false" outlineLevel="0" collapsed="false">
      <c r="A21" s="7" t="s">
        <v>150</v>
      </c>
      <c r="B21" s="19" t="n">
        <v>88320</v>
      </c>
      <c r="C21" s="19" t="n">
        <v>620598</v>
      </c>
      <c r="D21" s="19" t="n">
        <v>2270523</v>
      </c>
      <c r="E21" s="19" t="n">
        <v>5651820</v>
      </c>
      <c r="F21" s="19" t="n">
        <v>10720882</v>
      </c>
    </row>
    <row r="22" customFormat="false" ht="15" hidden="false" customHeight="false" outlineLevel="0" collapsed="false">
      <c r="A22" s="20" t="s">
        <v>151</v>
      </c>
      <c r="B22" s="21" t="n">
        <v>-1053578</v>
      </c>
      <c r="C22" s="21" t="n">
        <v>-1529110</v>
      </c>
      <c r="D22" s="21" t="n">
        <v>-1181791</v>
      </c>
      <c r="E22" s="21" t="n">
        <v>733357</v>
      </c>
      <c r="F22" s="21" t="n">
        <v>3741326</v>
      </c>
    </row>
    <row r="23" customFormat="false" ht="15" hidden="false" customHeight="false" outlineLevel="0" collapsed="false">
      <c r="A23" s="7" t="s">
        <v>152</v>
      </c>
      <c r="B23" s="19" t="n">
        <v>-1058911</v>
      </c>
      <c r="C23" s="19" t="n">
        <v>-1545110</v>
      </c>
      <c r="D23" s="19" t="n">
        <v>-1213791</v>
      </c>
      <c r="E23" s="19" t="n">
        <v>686690</v>
      </c>
      <c r="F23" s="19" t="n">
        <v>3543775</v>
      </c>
    </row>
    <row r="24" customFormat="false" ht="15" hidden="false" customHeight="false" outlineLevel="0" collapsed="false">
      <c r="A24" s="20" t="s">
        <v>153</v>
      </c>
      <c r="B24" s="21" t="n">
        <v>-984192</v>
      </c>
      <c r="C24" s="21" t="n">
        <v>-2513508</v>
      </c>
      <c r="D24" s="21" t="n">
        <v>-3794448</v>
      </c>
      <c r="E24" s="21" t="n">
        <v>-3324820</v>
      </c>
      <c r="F24" s="21" t="n">
        <v>-109715</v>
      </c>
    </row>
    <row r="26" customFormat="false" ht="15" hidden="false" customHeight="false" outlineLevel="0" collapsed="false">
      <c r="A26" s="23" t="s">
        <v>158</v>
      </c>
    </row>
    <row r="27" customFormat="false" ht="15" hidden="false" customHeight="false" outlineLevel="0" collapsed="false">
      <c r="A27" s="3" t="s">
        <v>159</v>
      </c>
    </row>
    <row r="28" customFormat="false" ht="15" hidden="false" customHeight="false" outlineLevel="0" collapsed="false">
      <c r="A28" s="7" t="s">
        <v>150</v>
      </c>
      <c r="B28" s="19" t="n">
        <v>146666</v>
      </c>
      <c r="C28" s="19" t="n">
        <v>913976</v>
      </c>
      <c r="D28" s="19" t="n">
        <v>3112606</v>
      </c>
      <c r="E28" s="19" t="n">
        <v>7428262</v>
      </c>
      <c r="F28" s="19" t="n">
        <v>13769414</v>
      </c>
    </row>
    <row r="29" customFormat="false" ht="15" hidden="false" customHeight="false" outlineLevel="0" collapsed="false">
      <c r="A29" s="20" t="s">
        <v>151</v>
      </c>
      <c r="B29" s="24" t="n">
        <v>-1005734</v>
      </c>
      <c r="C29" s="24" t="n">
        <v>-1288540</v>
      </c>
      <c r="D29" s="24" t="n">
        <v>-659918</v>
      </c>
      <c r="E29" s="24" t="n">
        <v>1654699</v>
      </c>
      <c r="F29" s="24" t="n">
        <v>5277849</v>
      </c>
    </row>
    <row r="30" customFormat="false" ht="15" hidden="false" customHeight="false" outlineLevel="0" collapsed="false">
      <c r="A30" s="7" t="s">
        <v>152</v>
      </c>
      <c r="B30" s="19" t="n">
        <v>-1011067</v>
      </c>
      <c r="C30" s="19" t="n">
        <v>-1304540</v>
      </c>
      <c r="D30" s="19" t="n">
        <v>-693251</v>
      </c>
      <c r="E30" s="19" t="n">
        <v>1604032</v>
      </c>
      <c r="F30" s="19" t="n">
        <v>4258593</v>
      </c>
    </row>
    <row r="31" customFormat="false" ht="15" hidden="false" customHeight="false" outlineLevel="0" collapsed="false">
      <c r="A31" s="20" t="s">
        <v>153</v>
      </c>
      <c r="B31" s="21" t="n">
        <v>-941080</v>
      </c>
      <c r="C31" s="21" t="n">
        <v>-2248886</v>
      </c>
      <c r="D31" s="21" t="n">
        <v>-3042590</v>
      </c>
      <c r="E31" s="21" t="n">
        <v>-1705252</v>
      </c>
      <c r="F31" s="21" t="n">
        <v>2152683</v>
      </c>
    </row>
    <row r="34" customFormat="false" ht="15" hidden="false" customHeight="false" outlineLevel="0" collapsed="false">
      <c r="A34" s="6" t="s">
        <v>160</v>
      </c>
    </row>
    <row r="35" customFormat="false" ht="15" hidden="false" customHeight="false" outlineLevel="0" collapsed="false">
      <c r="A35" s="7" t="s">
        <v>161</v>
      </c>
      <c r="B35" s="21" t="n">
        <v>11783880</v>
      </c>
      <c r="D35" s="3"/>
    </row>
    <row r="36" customFormat="false" ht="15" hidden="false" customHeight="false" outlineLevel="0" collapsed="false">
      <c r="A36" s="7" t="s">
        <v>162</v>
      </c>
      <c r="B36" s="21" t="n">
        <v>10563240</v>
      </c>
      <c r="D36" s="3"/>
    </row>
    <row r="37" customFormat="false" ht="15" hidden="false" customHeight="false" outlineLevel="0" collapsed="false">
      <c r="A37" s="7" t="s">
        <v>163</v>
      </c>
      <c r="B37" s="21" t="n">
        <v>72000000</v>
      </c>
      <c r="D37" s="3" t="s">
        <v>164</v>
      </c>
    </row>
    <row r="38" customFormat="false" ht="15" hidden="false" customHeight="false" outlineLevel="0" collapsed="false">
      <c r="A38" s="7" t="s">
        <v>165</v>
      </c>
      <c r="B38" s="21" t="n">
        <v>13200000</v>
      </c>
      <c r="D38" s="3"/>
    </row>
    <row r="39" customFormat="false" ht="15" hidden="false" customHeight="false" outlineLevel="0" collapsed="false">
      <c r="A39" s="7" t="s">
        <v>166</v>
      </c>
      <c r="B39" s="21" t="n">
        <v>107547120</v>
      </c>
      <c r="D39" s="3" t="s">
        <v>167</v>
      </c>
    </row>
    <row r="40" customFormat="false" ht="15" hidden="false" customHeight="false" outlineLevel="0" collapsed="false">
      <c r="A40" s="7" t="s">
        <v>168</v>
      </c>
      <c r="B40" s="21" t="n">
        <v>21509424</v>
      </c>
      <c r="D40" s="3"/>
    </row>
    <row r="42" customFormat="false" ht="15" hidden="false" customHeight="false" outlineLevel="0" collapsed="false">
      <c r="A42" s="17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5"/>
    <col collapsed="false" customWidth="true" hidden="false" outlineLevel="0" max="4" min="4" style="0" width="64"/>
  </cols>
  <sheetData>
    <row r="1" customFormat="false" ht="17.35" hidden="false" customHeight="false" outlineLevel="0" collapsed="false">
      <c r="A1" s="1" t="s">
        <v>170</v>
      </c>
    </row>
    <row r="4" customFormat="false" ht="15" hidden="false" customHeight="false" outlineLevel="0" collapsed="false">
      <c r="A4" s="6" t="s">
        <v>171</v>
      </c>
    </row>
    <row r="5" customFormat="false" ht="15" hidden="false" customHeight="false" outlineLevel="0" collapsed="false">
      <c r="A5" s="7" t="s">
        <v>172</v>
      </c>
      <c r="B5" s="19" t="n">
        <f aca="false">Assumptions!$B$11*Assumptions!$B$14*12</f>
        <v>1620</v>
      </c>
      <c r="D5" s="3" t="s">
        <v>173</v>
      </c>
    </row>
    <row r="6" customFormat="false" ht="15" hidden="false" customHeight="false" outlineLevel="0" collapsed="false">
      <c r="A6" s="7" t="s">
        <v>174</v>
      </c>
      <c r="B6" s="19" t="n">
        <f aca="false">-B5*Assumptions!$B$28</f>
        <v>-291.6</v>
      </c>
      <c r="D6" s="3"/>
    </row>
    <row r="7" customFormat="false" ht="15" hidden="false" customHeight="false" outlineLevel="0" collapsed="false">
      <c r="A7" s="7" t="s">
        <v>175</v>
      </c>
      <c r="B7" s="19" t="n">
        <f aca="false">B5+B6</f>
        <v>1328.4</v>
      </c>
      <c r="D7" s="3"/>
    </row>
    <row r="8" customFormat="false" ht="15" hidden="false" customHeight="false" outlineLevel="0" collapsed="false">
      <c r="A8" s="7" t="s">
        <v>176</v>
      </c>
      <c r="B8" s="22" t="n">
        <f aca="false">B5/225000</f>
        <v>0.0072</v>
      </c>
      <c r="D8" s="3" t="s">
        <v>177</v>
      </c>
    </row>
    <row r="9" customFormat="false" ht="15" hidden="false" customHeight="false" outlineLevel="0" collapsed="false">
      <c r="A9" s="6" t="s">
        <v>178</v>
      </c>
    </row>
    <row r="10" customFormat="false" ht="15" hidden="false" customHeight="false" outlineLevel="0" collapsed="false">
      <c r="A10" s="7" t="s">
        <v>172</v>
      </c>
      <c r="B10" s="19" t="n">
        <f aca="false">Assumptions!$B$16*12</f>
        <v>7200</v>
      </c>
      <c r="D10" s="3" t="s">
        <v>179</v>
      </c>
    </row>
    <row r="11" customFormat="false" ht="15" hidden="false" customHeight="false" outlineLevel="0" collapsed="false">
      <c r="A11" s="7" t="s">
        <v>174</v>
      </c>
      <c r="B11" s="19" t="n">
        <f aca="false">-B10*Assumptions!$B$28</f>
        <v>-1296</v>
      </c>
      <c r="D11" s="3"/>
    </row>
    <row r="12" customFormat="false" ht="15" hidden="false" customHeight="false" outlineLevel="0" collapsed="false">
      <c r="A12" s="7" t="s">
        <v>175</v>
      </c>
      <c r="B12" s="19" t="n">
        <f aca="false">B10+B11</f>
        <v>5904</v>
      </c>
      <c r="D12" s="3"/>
    </row>
    <row r="13" customFormat="false" ht="15" hidden="false" customHeight="false" outlineLevel="0" collapsed="false">
      <c r="A13" s="7" t="s">
        <v>180</v>
      </c>
      <c r="B13" s="22" t="n">
        <f aca="false">B10/2000000</f>
        <v>0.0036</v>
      </c>
      <c r="D13" s="3" t="s">
        <v>181</v>
      </c>
    </row>
    <row r="14" customFormat="false" ht="15" hidden="false" customHeight="false" outlineLevel="0" collapsed="false">
      <c r="A14" s="6" t="s">
        <v>182</v>
      </c>
    </row>
    <row r="15" customFormat="false" ht="15" hidden="false" customHeight="false" outlineLevel="0" collapsed="false">
      <c r="A15" s="7" t="s">
        <v>172</v>
      </c>
      <c r="B15" s="19" t="n">
        <f aca="false">Assumptions!$B$15*12</f>
        <v>228</v>
      </c>
      <c r="D15" s="3" t="s">
        <v>183</v>
      </c>
    </row>
    <row r="16" customFormat="false" ht="15" hidden="false" customHeight="false" outlineLevel="0" collapsed="false">
      <c r="A16" s="7" t="s">
        <v>184</v>
      </c>
      <c r="B16" s="22" t="n">
        <f aca="false">B15/22000</f>
        <v>0.0103636363636364</v>
      </c>
      <c r="D16" s="3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2026-08-20T04:56:45Z</dcterms:created>
  <dc:creator>openpyxl</dc:creator>
  <dc:description/>
  <dc:language>en-US</dc:language>
  <cp:lastModifiedBy/>
  <dcterms:modified xsi:type="dcterms:W3CDTF">2026-08-20T04:56:45Z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