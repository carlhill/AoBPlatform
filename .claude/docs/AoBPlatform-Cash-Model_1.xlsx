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umptions" sheetId="1" state="visible" r:id="rId3"/>
    <sheet name="Model" sheetId="2" state="visible" r:id="rId4"/>
    <sheet name="Unit Economics" sheetId="3" state="visible" r:id="rId5"/>
    <sheet name="Scenarios" sheetId="4" state="visible" r:id="rId6"/>
    <sheet name="Sensitivit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<sst xmlns="http://schemas.openxmlformats.org/spreadsheetml/2006/main" count="272" uniqueCount="227">
  <si>
    <t xml:space="preserve">AoBPlatform — Cash Model Assumptions</t>
  </si>
  <si>
    <t xml:space="preserve">Every blue cell is an input. Yellow cells are the levers that move the answer most. All figures in AUD.</t>
  </si>
  <si>
    <t xml:space="preserve">Legend: blue = input you can change · black = calculated · green = pulled from another sheet · yellow fill = key lever</t>
  </si>
  <si>
    <t xml:space="preserve">MARKET</t>
  </si>
  <si>
    <t xml:space="preserve">General practices in Australia (accredited)</t>
  </si>
  <si>
    <t xml:space="preserve">RACGP Health of the Nation 2025</t>
  </si>
  <si>
    <t xml:space="preserve">Average billing practitioners per GP practice</t>
  </si>
  <si>
    <t xml:space="preserve">40,375 GPs / 7,132 practices, rounded down for part-time</t>
  </si>
  <si>
    <t xml:space="preserve">Target non-GP practices (allied, optometry, specialist)</t>
  </si>
  <si>
    <t xml:space="preserve">Estimate — no published practice count exists for these segments</t>
  </si>
  <si>
    <t xml:space="preserve">Average billing practitioners per non-GP practice</t>
  </si>
  <si>
    <t xml:space="preserve">Estimate</t>
  </si>
  <si>
    <t xml:space="preserve">PRICING</t>
  </si>
  <si>
    <t xml:space="preserve">Core subscription — GP ($ per practitioner per month)</t>
  </si>
  <si>
    <t xml:space="preserve">vs Bp Premier ~$124/mo per FT doctor and HotDoc from ~$85/practitioner/mo</t>
  </si>
  <si>
    <t xml:space="preserve">Core subscription — non-GP ($ per practitioner per month)</t>
  </si>
  <si>
    <t xml:space="preserve">Lower ability to pay in allied and solo practice</t>
  </si>
  <si>
    <t xml:space="preserve">Managed follow-up ($ per practice per month)</t>
  </si>
  <si>
    <t xml:space="preserve">Priced against staff time, not against software</t>
  </si>
  <si>
    <t xml:space="preserve">Managed follow-up attach rate (% of GP practices)</t>
  </si>
  <si>
    <t xml:space="preserve">Assumption</t>
  </si>
  <si>
    <t xml:space="preserve">Enduring enrolment ($ per completed agreement)</t>
  </si>
  <si>
    <t xml:space="preserve">One-off, in the year after a GP practice onboards</t>
  </si>
  <si>
    <t xml:space="preserve">Enduring agreements per GP practice (one-off campaign)</t>
  </si>
  <si>
    <t xml:space="preserve">Per practitioner, so a multiple of patients — see Addendum v3</t>
  </si>
  <si>
    <t xml:space="preserve">Audit response ($ per engagement)</t>
  </si>
  <si>
    <t xml:space="preserve">Low volume, high value</t>
  </si>
  <si>
    <t xml:space="preserve">Audit engagements (% of installed base per year)</t>
  </si>
  <si>
    <t xml:space="preserve">ADOPTION — new practices won during the year</t>
  </si>
  <si>
    <t xml:space="preserve">Financial year (Australian, ending 30 June)</t>
  </si>
  <si>
    <t xml:space="preserve">FY27</t>
  </si>
  <si>
    <t xml:space="preserve">FY28</t>
  </si>
  <si>
    <t xml:space="preserve">FY29</t>
  </si>
  <si>
    <t xml:space="preserve">FY30</t>
  </si>
  <si>
    <t xml:space="preserve">FY31</t>
  </si>
  <si>
    <t xml:space="preserve">New GP practices won</t>
  </si>
  <si>
    <t xml:space="preserve">New non-GP practices won</t>
  </si>
  <si>
    <t xml:space="preserve">Annual practice churn (%)</t>
  </si>
  <si>
    <t xml:space="preserve">COST OF DELIVERY</t>
  </si>
  <si>
    <t xml:space="preserve">Messaging and infrastructure ($ per practitioner per month)</t>
  </si>
  <si>
    <t xml:space="preserve">SMS at ~4c plus hosting; most capture is in-practice so remote volume is low</t>
  </si>
  <si>
    <t xml:space="preserve">Managed follow-up — delivery cost (% of that revenue)</t>
  </si>
  <si>
    <t xml:space="preserve">AI-led with a small human team for escalation</t>
  </si>
  <si>
    <t xml:space="preserve">Enrolment campaigns — delivery cost (% of that revenue)</t>
  </si>
  <si>
    <t xml:space="preserve">Largely automated</t>
  </si>
  <si>
    <t xml:space="preserve">Audit response — delivery cost (% of that revenue)</t>
  </si>
  <si>
    <t xml:space="preserve">Human-delivered</t>
  </si>
  <si>
    <t xml:space="preserve">OPERATING COSTS</t>
  </si>
  <si>
    <t xml:space="preserve">Financial year</t>
  </si>
  <si>
    <t xml:space="preserve">Headcount at year end (FTE)</t>
  </si>
  <si>
    <t xml:space="preserve">Average fully loaded cost per FTE ($)</t>
  </si>
  <si>
    <t xml:space="preserve">Sales and marketing (% of revenue, floor applies below)</t>
  </si>
  <si>
    <t xml:space="preserve">Sales and marketing floor ($)</t>
  </si>
  <si>
    <t xml:space="preserve">Security, compliance and assurance ($)</t>
  </si>
  <si>
    <t xml:space="preserve">Other general and administrative ($ per FTE)</t>
  </si>
  <si>
    <t xml:space="preserve">WORKING CAPITAL AND FUNDING</t>
  </si>
  <si>
    <t xml:space="preserve">Debtor days (subscription and services)</t>
  </si>
  <si>
    <t xml:space="preserve">Practices pay monthly in arrears</t>
  </si>
  <si>
    <t xml:space="preserve">Creditor days</t>
  </si>
  <si>
    <t xml:space="preserve">Opening cash at 1 July 2026 ($)</t>
  </si>
  <si>
    <t xml:space="preserve">Set to your actual opening position</t>
  </si>
  <si>
    <t xml:space="preserve">Cash buffer required on top of peak deficit ($)</t>
  </si>
  <si>
    <t xml:space="preserve">Rule of thumb — six months of run rate at the trough</t>
  </si>
  <si>
    <t xml:space="preserve">Equipment and fit-out per FTE ($)</t>
  </si>
  <si>
    <t xml:space="preserve">Laptops, desks, devices</t>
  </si>
  <si>
    <t xml:space="preserve">Asset life for depreciation (years)</t>
  </si>
  <si>
    <t xml:space="preserve">Straight line</t>
  </si>
  <si>
    <t xml:space="preserve">Company tax rate</t>
  </si>
  <si>
    <t xml:space="preserve">Base rate entity — turnover under $50m. 30% above that threshold.</t>
  </si>
  <si>
    <t xml:space="preserve">Every number on this sheet is an assumption, not a forecast. Nothing here has been validated against a paying customer.</t>
  </si>
  <si>
    <t xml:space="preserve">AoBPlatform — Five Year Model</t>
  </si>
  <si>
    <t xml:space="preserve">All figures in AUD. Australian financial years ending 30 June. Green figures are pulled from Assumptions.</t>
  </si>
  <si>
    <t xml:space="preserve">INSTALLED BASE</t>
  </si>
  <si>
    <t xml:space="preserve">GP practices — opening</t>
  </si>
  <si>
    <t xml:space="preserve">GP practices — won</t>
  </si>
  <si>
    <t xml:space="preserve">GP practices — closing</t>
  </si>
  <si>
    <t xml:space="preserve">Non-GP practices — opening</t>
  </si>
  <si>
    <t xml:space="preserve">Non-GP practices — won</t>
  </si>
  <si>
    <t xml:space="preserve">Non-GP practices — closing</t>
  </si>
  <si>
    <t xml:space="preserve">GP practices — average during year</t>
  </si>
  <si>
    <t xml:space="preserve">Non-GP practices — average during year</t>
  </si>
  <si>
    <t xml:space="preserve">Billing practitioners on the platform (average)</t>
  </si>
  <si>
    <t xml:space="preserve">REVENUE</t>
  </si>
  <si>
    <t xml:space="preserve">Core subscription — GP</t>
  </si>
  <si>
    <t xml:space="preserve">Core subscription — non-GP</t>
  </si>
  <si>
    <t xml:space="preserve">Managed follow-up</t>
  </si>
  <si>
    <t xml:space="preserve">Enduring enrolment campaigns</t>
  </si>
  <si>
    <t xml:space="preserve">Audit response</t>
  </si>
  <si>
    <t xml:space="preserve">Total revenue</t>
  </si>
  <si>
    <t xml:space="preserve">Revenue growth</t>
  </si>
  <si>
    <t xml:space="preserve">-</t>
  </si>
  <si>
    <t xml:space="preserve">Messaging and infrastructure</t>
  </si>
  <si>
    <t xml:space="preserve">Managed follow-up delivery</t>
  </si>
  <si>
    <t xml:space="preserve">Enrolment campaign delivery</t>
  </si>
  <si>
    <t xml:space="preserve">Audit response delivery</t>
  </si>
  <si>
    <t xml:space="preserve">Total cost of delivery</t>
  </si>
  <si>
    <t xml:space="preserve">Gross profit</t>
  </si>
  <si>
    <t xml:space="preserve">Gross margin</t>
  </si>
  <si>
    <t xml:space="preserve">People</t>
  </si>
  <si>
    <t xml:space="preserve">Sales and marketing</t>
  </si>
  <si>
    <t xml:space="preserve">Security, compliance and assurance</t>
  </si>
  <si>
    <t xml:space="preserve">Other general and administrative</t>
  </si>
  <si>
    <t xml:space="preserve">Total operating costs</t>
  </si>
  <si>
    <t xml:space="preserve">EBITDA</t>
  </si>
  <si>
    <t xml:space="preserve">EBITDA margin</t>
  </si>
  <si>
    <t xml:space="preserve">BELOW EBITDA</t>
  </si>
  <si>
    <t xml:space="preserve">Equipment and fit-out purchased in year</t>
  </si>
  <si>
    <t xml:space="preserve">Depreciation and amortisation</t>
  </si>
  <si>
    <t xml:space="preserve">EBIT</t>
  </si>
  <si>
    <t xml:space="preserve">Net interest</t>
  </si>
  <si>
    <t xml:space="preserve">Profit before tax</t>
  </si>
  <si>
    <t xml:space="preserve">Carried-forward tax losses — opening</t>
  </si>
  <si>
    <t xml:space="preserve">Losses used this year</t>
  </si>
  <si>
    <t xml:space="preserve">Taxable income</t>
  </si>
  <si>
    <t xml:space="preserve">Carried-forward tax losses — closing</t>
  </si>
  <si>
    <t xml:space="preserve">Company tax</t>
  </si>
  <si>
    <t xml:space="preserve">NET PROFIT AFTER TAX</t>
  </si>
  <si>
    <t xml:space="preserve">Net margin</t>
  </si>
  <si>
    <t xml:space="preserve">CASH</t>
  </si>
  <si>
    <t xml:space="preserve">Movement in receivables</t>
  </si>
  <si>
    <t xml:space="preserve">Movement in payables</t>
  </si>
  <si>
    <t xml:space="preserve">Add back depreciation and amortisation</t>
  </si>
  <si>
    <t xml:space="preserve">Equipment and fit-out purchased</t>
  </si>
  <si>
    <t xml:space="preserve">Net cash flow</t>
  </si>
  <si>
    <t xml:space="preserve">Opening cash</t>
  </si>
  <si>
    <t xml:space="preserve">Closing cash before funding</t>
  </si>
  <si>
    <t xml:space="preserve">FUNDING REQUIREMENT</t>
  </si>
  <si>
    <t xml:space="preserve">Deepest cash deficit across the five years</t>
  </si>
  <si>
    <t xml:space="preserve">Cash buffer</t>
  </si>
  <si>
    <t xml:space="preserve">Capital to raise</t>
  </si>
  <si>
    <t xml:space="preserve">Nothing on this sheet is a forecast. It is arithmetic on the Assumptions tab, and every assumption there is unvalidated.</t>
  </si>
  <si>
    <t xml:space="preserve">Unit economics — one average GP practice</t>
  </si>
  <si>
    <t xml:space="preserve">The number that decides whether this is a business. All figures in AUD.</t>
  </si>
  <si>
    <t xml:space="preserve">Billing practitioners per practice</t>
  </si>
  <si>
    <t xml:space="preserve">From Assumptions</t>
  </si>
  <si>
    <t xml:space="preserve">Core subscription per year</t>
  </si>
  <si>
    <t xml:space="preserve">Practitioners x monthly price x 12</t>
  </si>
  <si>
    <t xml:space="preserve">Managed follow-up per year (expected, at attach rate)</t>
  </si>
  <si>
    <t xml:space="preserve">Weighted by the share of practices that take it</t>
  </si>
  <si>
    <t xml:space="preserve">Enduring enrolment (one-off, year two)</t>
  </si>
  <si>
    <t xml:space="preserve">Non-recurring</t>
  </si>
  <si>
    <t xml:space="preserve">Audit response per year (expected)</t>
  </si>
  <si>
    <t xml:space="preserve">Weighted by frequency</t>
  </si>
  <si>
    <t xml:space="preserve">Recurring revenue per practice per year</t>
  </si>
  <si>
    <t xml:space="preserve">Excludes the one-off enrolment campaign</t>
  </si>
  <si>
    <t xml:space="preserve">Cost of delivery per practice per year</t>
  </si>
  <si>
    <t xml:space="preserve">Messaging, infrastructure and service delivery</t>
  </si>
  <si>
    <t xml:space="preserve">Gross profit per practice per year</t>
  </si>
  <si>
    <t xml:space="preserve">Customer acquisition cost</t>
  </si>
  <si>
    <t xml:space="preserve">FY28 sales and marketing divided by practices won that year</t>
  </si>
  <si>
    <t xml:space="preserve">Months to recover acquisition cost</t>
  </si>
  <si>
    <t xml:space="preserve">Gross-profit payback</t>
  </si>
  <si>
    <t xml:space="preserve">Average customer life (years)</t>
  </si>
  <si>
    <t xml:space="preserve">One divided by the steady-state churn rate</t>
  </si>
  <si>
    <t xml:space="preserve">Lifetime gross profit per practice</t>
  </si>
  <si>
    <t xml:space="preserve">Lifetime value to acquisition cost</t>
  </si>
  <si>
    <t xml:space="preserve">Below 3.0x the model does not work</t>
  </si>
  <si>
    <t xml:space="preserve">The comparison that matters</t>
  </si>
  <si>
    <t xml:space="preserve">Modelled saving per FTE GP per year (steady state)</t>
  </si>
  <si>
    <t xml:space="preserve">From the published advisory estimate of ~$1,750 per FTE GP per year, most of which is chase labour</t>
  </si>
  <si>
    <t xml:space="preserve">Our recurring price per practitioner per year</t>
  </si>
  <si>
    <t xml:space="preserve">Share of the saving we capture</t>
  </si>
  <si>
    <t xml:space="preserve">Well under half. If this exceeds ~50% the sale gets hard.</t>
  </si>
  <si>
    <t xml:space="preserve">Scenarios — full profit and loss, down to net profit after tax</t>
  </si>
  <si>
    <t xml:space="preserve">Company tax at 25% (base rate entity, turnover under $50m). Carried-forward losses are applied before any tax is payable.</t>
  </si>
  <si>
    <t xml:space="preserve">Scenario</t>
  </si>
  <si>
    <t xml:space="preserve">BASE — as built on the Model tab</t>
  </si>
  <si>
    <t xml:space="preserve">Headcount 9/20/36/54/70. $39 per practitioner. Follow-up $350 at 35% attach.</t>
  </si>
  <si>
    <t xml:space="preserve">   Revenue</t>
  </si>
  <si>
    <t xml:space="preserve">   EBITDA</t>
  </si>
  <si>
    <t xml:space="preserve">   Depreciation and amortisation</t>
  </si>
  <si>
    <t xml:space="preserve">   EBIT / profit before tax</t>
  </si>
  <si>
    <t xml:space="preserve">   Company tax at 25%</t>
  </si>
  <si>
    <t xml:space="preserve">   NET PROFIT AFTER TAX</t>
  </si>
  <si>
    <t xml:space="preserve">   Carried-forward tax losses at year end</t>
  </si>
  <si>
    <t xml:space="preserve">   Cumulative net profit after tax</t>
  </si>
  <si>
    <t xml:space="preserve">LEAN — headcount 8/16/24/30/36</t>
  </si>
  <si>
    <t xml:space="preserve">Same price, same adoption. Only the team is smaller.</t>
  </si>
  <si>
    <t xml:space="preserve">LEAN + 50% MORE ADOPTION</t>
  </si>
  <si>
    <t xml:space="preserve">Lean team, base pricing, half again as many practices won each year.</t>
  </si>
  <si>
    <t xml:space="preserve">REALISTIC UPSIDE</t>
  </si>
  <si>
    <t xml:space="preserve">Lean team. $49 per practitioner. Follow-up $400 at 55% attach. 50% more adoption.</t>
  </si>
  <si>
    <t xml:space="preserve">Why tax is nil even in the profitable years</t>
  </si>
  <si>
    <t xml:space="preserve">Losses carried forward from the early years are applied against later profits before any tax is payable. In the realistic upside case the accumulated losses are not exhausted within the five years, so the company pays no company tax across the whole period and net profit after tax equals profit before tax. Australian tax losses carry forward indefinitely, subject to the continuity of ownership or same business tests — a change of control on a funding round can put them at risk, which is worth checking with your tax adviser before a raise.</t>
  </si>
  <si>
    <t xml:space="preserve">THE CEILING — this matters more than any scenario</t>
  </si>
  <si>
    <t xml:space="preserve">Recurring revenue per GP practice per year — base pricing</t>
  </si>
  <si>
    <t xml:space="preserve">5 practitioners x $39 x 12, plus follow-up and audit at expected rates</t>
  </si>
  <si>
    <t xml:space="preserve">Recurring revenue per GP practice per year — upside pricing</t>
  </si>
  <si>
    <t xml:space="preserve">5 x $49 x 12, follow-up $400 at 55% attach</t>
  </si>
  <si>
    <t xml:space="preserve">Australian ceiling at 100% share — base pricing</t>
  </si>
  <si>
    <t xml:space="preserve">7,132 GP practices plus 12,000 assumed non-GP practices</t>
  </si>
  <si>
    <t xml:space="preserve">Australian ceiling at 100% share — upside pricing</t>
  </si>
  <si>
    <t xml:space="preserve">Realistic 25% share — upside pricing</t>
  </si>
  <si>
    <t xml:space="preserve">The size of the prize, and the most important number here</t>
  </si>
  <si>
    <t xml:space="preserve">Modelled practice saving per year (5 FTE GPs, steady state)</t>
  </si>
  <si>
    <t xml:space="preserve">$1,750 per FTE GP per year, mostly chase labour</t>
  </si>
  <si>
    <t xml:space="preserve">Share of that saving captured at upside pricing</t>
  </si>
  <si>
    <t xml:space="preserve">Above about 70% the sale gets hard — you cannot charge more than the customer saves</t>
  </si>
  <si>
    <t xml:space="preserve">BREAK-EVEN — revenue needed at a given team size</t>
  </si>
  <si>
    <t xml:space="preserve">Team size (FTE)</t>
  </si>
  <si>
    <t xml:space="preserve">Revenue required to break even</t>
  </si>
  <si>
    <t xml:space="preserve">GP-equivalent practices needed, base pricing</t>
  </si>
  <si>
    <t xml:space="preserve">As a share of the 7,132 GP practices in Australia</t>
  </si>
  <si>
    <t xml:space="preserve">Every figure here is arithmetic on unvalidated assumptions. The adoption rate is the one most likely to be wrong, and it is not a modelling problem.</t>
  </si>
  <si>
    <t xml:space="preserve">Sensitivity — what actually moves the answer</t>
  </si>
  <si>
    <t xml:space="preserve">Capital to raise, at varying price and adoption. Change the Assumptions tab to move the base case.</t>
  </si>
  <si>
    <t xml:space="preserve">Base case capital to raise</t>
  </si>
  <si>
    <t xml:space="preserve">The three levers, in order of impact</t>
  </si>
  <si>
    <t xml:space="preserve">1. Adoption rate</t>
  </si>
  <si>
    <t xml:space="preserve">New practices won each year</t>
  </si>
  <si>
    <t xml:space="preserve">Halving adoption roughly doubles the time to break even and increases the raise. This is the single largest driver and the least controllable.</t>
  </si>
  <si>
    <t xml:space="preserve">2. Managed follow-up attach rate</t>
  </si>
  <si>
    <t xml:space="preserve">Share of practices taking the service</t>
  </si>
  <si>
    <t xml:space="preserve">Highest-margin recurring line after core subscription, and it is the offering competitors cannot bundle.</t>
  </si>
  <si>
    <t xml:space="preserve">3. Price per practitioner</t>
  </si>
  <si>
    <t xml:space="preserve">Core subscription</t>
  </si>
  <si>
    <t xml:space="preserve">We capture well under half the modelled saving, so there is headroom — but the two large distributors bundle a form at zero marginal cost, so price is not where this is won.</t>
  </si>
  <si>
    <t xml:space="preserve">To run a scenario: change the yellow cells on the Assumptions tab and read the capital to raise above.</t>
  </si>
  <si>
    <t xml:space="preserve">Known weaknesses in this model</t>
  </si>
  <si>
    <t xml:space="preserve">Adoption is assumed, not tested. No practice has paid anything.</t>
  </si>
  <si>
    <t xml:space="preserve">Churn is a flat annual rate. Real churn is front-loaded in year one.</t>
  </si>
  <si>
    <t xml:space="preserve">The managed follow-up margin assumes AI handles most contacts. That is unproven.</t>
  </si>
  <si>
    <t xml:space="preserve">Enduring enrolment revenue is one-off and does not repeat — it flatters year two.</t>
  </si>
  <si>
    <t xml:space="preserve">Non-GP practice count is an estimate. No published figure exists for those segments.</t>
  </si>
  <si>
    <t xml:space="preserve">No allowance for a failed security review, a lost integration, or a regulatory reversal — all of which have precedent.</t>
  </si>
  <si>
    <t xml:space="preserve">A lifetime-value-to-acquisition-cost ratio above about 5x almost always means the churn or acquisition-cost assumption is too kind. Treat the figure on the Unit Economics tab as an upper bound.</t>
  </si>
  <si>
    <t xml:space="preserve">Enduring agreements cut the number of agreements while increasing post-claim notice volume. Pricing per practitioner rather than per agreement is what keeps those two forces from working against you.</t>
  </si>
</sst>
</file>

<file path=xl/styles.xml><?xml version="1.0" encoding="utf-8"?>
<styleSheet xmlns="http://schemas.openxmlformats.org/spreadsheetml/2006/main">
  <numFmts count="9">
    <numFmt numFmtId="164" formatCode="General"/>
    <numFmt numFmtId="165" formatCode="#,##0;\(#,##0\);\-"/>
    <numFmt numFmtId="166" formatCode="0.0"/>
    <numFmt numFmtId="167" formatCode="\$#,##0;&quot;($&quot;#,##0\);\-"/>
    <numFmt numFmtId="168" formatCode="0.0%"/>
    <numFmt numFmtId="169" formatCode="\$#,##0.00;&quot;($&quot;#,##0.00\);\-"/>
    <numFmt numFmtId="170" formatCode="0.0\x"/>
    <numFmt numFmtId="171" formatCode="\$#,##0;&quot;($&quot;#,##0\);\-"/>
    <numFmt numFmtId="172" formatCode="#,##0;\(#,##0\);\-"/>
  </numFmts>
  <fonts count="14">
    <font>
      <sz val="11"/>
      <color theme="1"/>
      <name val="Calibri"/>
      <family val="2"/>
      <charset val="1"/>
    </font>
    <font>
      <sz val="10"/>
      <name val="Arial"/>
      <family val="0"/>
    </font>
    <font>
      <sz val="10"/>
      <name val="Arial"/>
      <family val="0"/>
    </font>
    <font>
      <sz val="10"/>
      <name val="Arial"/>
      <family val="0"/>
    </font>
    <font>
      <b val="true"/>
      <sz val="14"/>
      <color rgb="FF0B3C49"/>
      <name val="Arial"/>
      <family val="0"/>
      <charset val="1"/>
    </font>
    <font>
      <i val="true"/>
      <sz val="9"/>
      <color rgb="FF5A6B72"/>
      <name val="Arial"/>
      <family val="0"/>
      <charset val="1"/>
    </font>
    <font>
      <i val="true"/>
      <sz val="8"/>
      <color rgb="FF5A6B72"/>
      <name val="Arial"/>
      <family val="0"/>
      <charset val="1"/>
    </font>
    <font>
      <b val="true"/>
      <sz val="10"/>
      <name val="Arial"/>
      <family val="0"/>
      <charset val="1"/>
    </font>
    <font>
      <sz val="10"/>
      <name val="Arial"/>
      <family val="0"/>
      <charset val="1"/>
    </font>
    <font>
      <sz val="10"/>
      <color rgb="FF0000FF"/>
      <name val="Arial"/>
      <family val="0"/>
      <charset val="1"/>
    </font>
    <font>
      <b val="true"/>
      <sz val="10"/>
      <color rgb="FFFFFFFF"/>
      <name val="Arial"/>
      <family val="0"/>
      <charset val="1"/>
    </font>
    <font>
      <b val="true"/>
      <sz val="9"/>
      <color rgb="FFB23A26"/>
      <name val="Arial"/>
      <family val="0"/>
      <charset val="1"/>
    </font>
    <font>
      <sz val="10"/>
      <color rgb="FF008000"/>
      <name val="Arial"/>
      <family val="0"/>
      <charset val="1"/>
    </font>
    <font>
      <i val="true"/>
      <sz val="9"/>
      <color rgb="FF1C7293"/>
      <name val="Arial"/>
      <family val="0"/>
      <charset val="1"/>
    </font>
  </fonts>
  <fills count="5">
    <fill>
      <patternFill patternType="none"/>
    </fill>
    <fill>
      <patternFill patternType="gray125"/>
    </fill>
    <fill>
      <patternFill patternType="solid">
        <fgColor rgb="FFEEF3F5"/>
        <bgColor rgb="FFFFFFFF"/>
      </patternFill>
    </fill>
    <fill>
      <patternFill patternType="solid">
        <fgColor rgb="FFFFFF00"/>
        <bgColor rgb="FFFFFF00"/>
      </patternFill>
    </fill>
    <fill>
      <patternFill patternType="solid">
        <fgColor rgb="FF0B3C49"/>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7" fontId="9" fillId="3" borderId="0" xfId="0" applyFont="true" applyBorder="false" applyAlignment="true" applyProtection="false">
      <alignment horizontal="general" vertical="bottom" textRotation="0" wrapText="false" indent="0" shrinkToFit="false"/>
      <protection locked="true" hidden="false"/>
    </xf>
    <xf numFmtId="168" fontId="9" fillId="0" borderId="0" xfId="0" applyFont="true" applyBorder="false" applyAlignment="true" applyProtection="false">
      <alignment horizontal="general" vertical="bottom" textRotation="0" wrapText="false" indent="0" shrinkToFit="false"/>
      <protection locked="true" hidden="false"/>
    </xf>
    <xf numFmtId="169" fontId="9" fillId="3"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center" vertical="bottom" textRotation="0" wrapText="false" indent="0" shrinkToFit="false"/>
      <protection locked="true" hidden="false"/>
    </xf>
    <xf numFmtId="165" fontId="9" fillId="3" borderId="0" xfId="0" applyFont="true" applyBorder="false" applyAlignment="true" applyProtection="false">
      <alignment horizontal="general" vertical="bottom" textRotation="0" wrapText="false" indent="0" shrinkToFit="false"/>
      <protection locked="true" hidden="false"/>
    </xf>
    <xf numFmtId="169" fontId="9"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5" fontId="12"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7" fontId="7" fillId="3" borderId="0" xfId="0" applyFont="true" applyBorder="false" applyAlignment="true" applyProtection="false">
      <alignment horizontal="general" vertical="bottom" textRotation="0" wrapText="false" indent="0" shrinkToFit="false"/>
      <protection locked="true" hidden="false"/>
    </xf>
    <xf numFmtId="167" fontId="12"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6" fontId="7" fillId="3" borderId="0" xfId="0" applyFont="true" applyBorder="false" applyAlignment="true" applyProtection="false">
      <alignment horizontal="general" vertical="bottom" textRotation="0" wrapText="false" indent="0" shrinkToFit="false"/>
      <protection locked="true" hidden="false"/>
    </xf>
    <xf numFmtId="170" fontId="7" fillId="3"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71" fontId="7" fillId="3"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7" fontId="12" fillId="3"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C7293"/>
      <rgbColor rgb="FFC0C0C0"/>
      <rgbColor rgb="FF808080"/>
      <rgbColor rgb="FF9999FF"/>
      <rgbColor rgb="FF993366"/>
      <rgbColor rgb="FFEEF3F5"/>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A6B72"/>
      <rgbColor rgb="FF969696"/>
      <rgbColor rgb="FF0B3C49"/>
      <rgbColor rgb="FF339966"/>
      <rgbColor rgb="FF003300"/>
      <rgbColor rgb="FF333300"/>
      <rgbColor rgb="FFB23A26"/>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7" min="2" style="1" width="14"/>
  </cols>
  <sheetData>
    <row r="1" customFormat="false" ht="17.2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t="s">
        <v>2</v>
      </c>
    </row>
    <row r="5" customFormat="false" ht="15" hidden="false" customHeight="true" outlineLevel="0" collapsed="false">
      <c r="A5" s="5" t="s">
        <v>3</v>
      </c>
    </row>
    <row r="6" customFormat="false" ht="15" hidden="false" customHeight="true" outlineLevel="0" collapsed="false">
      <c r="A6" s="6" t="s">
        <v>4</v>
      </c>
      <c r="B6" s="7" t="n">
        <v>7132</v>
      </c>
      <c r="D6" s="4" t="s">
        <v>5</v>
      </c>
    </row>
    <row r="7" customFormat="false" ht="15" hidden="false" customHeight="true" outlineLevel="0" collapsed="false">
      <c r="A7" s="6" t="s">
        <v>6</v>
      </c>
      <c r="B7" s="8" t="n">
        <v>5</v>
      </c>
      <c r="D7" s="4" t="s">
        <v>7</v>
      </c>
    </row>
    <row r="8" customFormat="false" ht="15" hidden="false" customHeight="true" outlineLevel="0" collapsed="false">
      <c r="A8" s="6" t="s">
        <v>8</v>
      </c>
      <c r="B8" s="7" t="n">
        <v>12000</v>
      </c>
      <c r="D8" s="4" t="s">
        <v>9</v>
      </c>
    </row>
    <row r="9" customFormat="false" ht="15" hidden="false" customHeight="true" outlineLevel="0" collapsed="false">
      <c r="A9" s="6" t="s">
        <v>10</v>
      </c>
      <c r="B9" s="8" t="n">
        <v>2.5</v>
      </c>
      <c r="D9" s="4" t="s">
        <v>11</v>
      </c>
    </row>
    <row r="11" customFormat="false" ht="15" hidden="false" customHeight="true" outlineLevel="0" collapsed="false">
      <c r="A11" s="5" t="s">
        <v>12</v>
      </c>
    </row>
    <row r="12" customFormat="false" ht="15" hidden="false" customHeight="true" outlineLevel="0" collapsed="false">
      <c r="A12" s="6" t="s">
        <v>13</v>
      </c>
      <c r="B12" s="9" t="n">
        <v>39</v>
      </c>
      <c r="D12" s="4" t="s">
        <v>14</v>
      </c>
    </row>
    <row r="13" customFormat="false" ht="15" hidden="false" customHeight="true" outlineLevel="0" collapsed="false">
      <c r="A13" s="6" t="s">
        <v>15</v>
      </c>
      <c r="B13" s="9" t="n">
        <v>25</v>
      </c>
      <c r="D13" s="4" t="s">
        <v>16</v>
      </c>
    </row>
    <row r="14" customFormat="false" ht="15" hidden="false" customHeight="true" outlineLevel="0" collapsed="false">
      <c r="A14" s="6" t="s">
        <v>17</v>
      </c>
      <c r="B14" s="9" t="n">
        <v>350</v>
      </c>
      <c r="D14" s="4" t="s">
        <v>18</v>
      </c>
    </row>
    <row r="15" customFormat="false" ht="15" hidden="false" customHeight="true" outlineLevel="0" collapsed="false">
      <c r="A15" s="6" t="s">
        <v>19</v>
      </c>
      <c r="B15" s="10" t="n">
        <v>0.35</v>
      </c>
      <c r="D15" s="4" t="s">
        <v>20</v>
      </c>
    </row>
    <row r="16" customFormat="false" ht="15" hidden="false" customHeight="true" outlineLevel="0" collapsed="false">
      <c r="A16" s="6" t="s">
        <v>21</v>
      </c>
      <c r="B16" s="11" t="n">
        <v>2</v>
      </c>
      <c r="D16" s="4" t="s">
        <v>22</v>
      </c>
    </row>
    <row r="17" customFormat="false" ht="15" hidden="false" customHeight="true" outlineLevel="0" collapsed="false">
      <c r="A17" s="6" t="s">
        <v>23</v>
      </c>
      <c r="B17" s="7" t="n">
        <v>1500</v>
      </c>
      <c r="D17" s="4" t="s">
        <v>24</v>
      </c>
    </row>
    <row r="18" customFormat="false" ht="15" hidden="false" customHeight="true" outlineLevel="0" collapsed="false">
      <c r="A18" s="6" t="s">
        <v>25</v>
      </c>
      <c r="B18" s="12" t="n">
        <v>2500</v>
      </c>
      <c r="D18" s="4" t="s">
        <v>26</v>
      </c>
    </row>
    <row r="19" customFormat="false" ht="15" hidden="false" customHeight="true" outlineLevel="0" collapsed="false">
      <c r="A19" s="6" t="s">
        <v>27</v>
      </c>
      <c r="B19" s="10" t="n">
        <v>0.03</v>
      </c>
      <c r="D19" s="4" t="s">
        <v>20</v>
      </c>
    </row>
    <row r="21" customFormat="false" ht="15" hidden="false" customHeight="true" outlineLevel="0" collapsed="false">
      <c r="A21" s="5" t="s">
        <v>28</v>
      </c>
    </row>
    <row r="22" customFormat="false" ht="15" hidden="false" customHeight="true" outlineLevel="0" collapsed="false">
      <c r="A22" s="13" t="s">
        <v>29</v>
      </c>
      <c r="B22" s="14" t="s">
        <v>30</v>
      </c>
      <c r="C22" s="14" t="s">
        <v>31</v>
      </c>
      <c r="D22" s="14" t="s">
        <v>32</v>
      </c>
      <c r="E22" s="14" t="s">
        <v>33</v>
      </c>
      <c r="F22" s="14" t="s">
        <v>34</v>
      </c>
    </row>
    <row r="23" customFormat="false" ht="15" hidden="false" customHeight="true" outlineLevel="0" collapsed="false">
      <c r="A23" s="6" t="s">
        <v>35</v>
      </c>
      <c r="B23" s="15" t="n">
        <v>45</v>
      </c>
      <c r="C23" s="15" t="n">
        <v>220</v>
      </c>
      <c r="D23" s="15" t="n">
        <v>520</v>
      </c>
      <c r="E23" s="15" t="n">
        <v>700</v>
      </c>
      <c r="F23" s="15" t="n">
        <v>800</v>
      </c>
    </row>
    <row r="24" customFormat="false" ht="15" hidden="false" customHeight="true" outlineLevel="0" collapsed="false">
      <c r="A24" s="6" t="s">
        <v>36</v>
      </c>
      <c r="B24" s="15" t="n">
        <v>15</v>
      </c>
      <c r="C24" s="15" t="n">
        <v>110</v>
      </c>
      <c r="D24" s="15" t="n">
        <v>330</v>
      </c>
      <c r="E24" s="15" t="n">
        <v>560</v>
      </c>
      <c r="F24" s="15" t="n">
        <v>760</v>
      </c>
    </row>
    <row r="25" customFormat="false" ht="15" hidden="false" customHeight="true" outlineLevel="0" collapsed="false">
      <c r="A25" s="6" t="s">
        <v>37</v>
      </c>
      <c r="B25" s="10" t="n">
        <v>0.05</v>
      </c>
      <c r="C25" s="10" t="n">
        <v>0.08</v>
      </c>
      <c r="D25" s="10" t="n">
        <v>0.1</v>
      </c>
      <c r="E25" s="10" t="n">
        <v>0.1</v>
      </c>
      <c r="F25" s="10" t="n">
        <v>0.1</v>
      </c>
    </row>
    <row r="27" customFormat="false" ht="15" hidden="false" customHeight="true" outlineLevel="0" collapsed="false">
      <c r="A27" s="5" t="s">
        <v>38</v>
      </c>
    </row>
    <row r="28" customFormat="false" ht="15" hidden="false" customHeight="true" outlineLevel="0" collapsed="false">
      <c r="A28" s="6" t="s">
        <v>39</v>
      </c>
      <c r="B28" s="16" t="n">
        <v>3.5</v>
      </c>
      <c r="D28" s="4" t="s">
        <v>40</v>
      </c>
    </row>
    <row r="29" customFormat="false" ht="15" hidden="false" customHeight="true" outlineLevel="0" collapsed="false">
      <c r="A29" s="6" t="s">
        <v>41</v>
      </c>
      <c r="B29" s="10" t="n">
        <v>0.45</v>
      </c>
      <c r="D29" s="4" t="s">
        <v>42</v>
      </c>
    </row>
    <row r="30" customFormat="false" ht="15" hidden="false" customHeight="true" outlineLevel="0" collapsed="false">
      <c r="A30" s="6" t="s">
        <v>43</v>
      </c>
      <c r="B30" s="10" t="n">
        <v>0.25</v>
      </c>
      <c r="D30" s="4" t="s">
        <v>44</v>
      </c>
    </row>
    <row r="31" customFormat="false" ht="15" hidden="false" customHeight="true" outlineLevel="0" collapsed="false">
      <c r="A31" s="6" t="s">
        <v>45</v>
      </c>
      <c r="B31" s="10" t="n">
        <v>0.4</v>
      </c>
      <c r="D31" s="4" t="s">
        <v>46</v>
      </c>
    </row>
    <row r="33" customFormat="false" ht="15" hidden="false" customHeight="true" outlineLevel="0" collapsed="false">
      <c r="A33" s="5" t="s">
        <v>47</v>
      </c>
    </row>
    <row r="34" customFormat="false" ht="15" hidden="false" customHeight="true" outlineLevel="0" collapsed="false">
      <c r="A34" s="13" t="s">
        <v>48</v>
      </c>
      <c r="B34" s="14" t="s">
        <v>30</v>
      </c>
      <c r="C34" s="14" t="s">
        <v>31</v>
      </c>
      <c r="D34" s="14" t="s">
        <v>32</v>
      </c>
      <c r="E34" s="14" t="s">
        <v>33</v>
      </c>
      <c r="F34" s="14" t="s">
        <v>34</v>
      </c>
    </row>
    <row r="35" customFormat="false" ht="15" hidden="false" customHeight="true" outlineLevel="0" collapsed="false">
      <c r="A35" s="6" t="s">
        <v>49</v>
      </c>
      <c r="B35" s="15" t="n">
        <v>9</v>
      </c>
      <c r="C35" s="15" t="n">
        <v>20</v>
      </c>
      <c r="D35" s="15" t="n">
        <v>36</v>
      </c>
      <c r="E35" s="15" t="n">
        <v>54</v>
      </c>
      <c r="F35" s="15" t="n">
        <v>70</v>
      </c>
    </row>
    <row r="36" customFormat="false" ht="15" hidden="false" customHeight="true" outlineLevel="0" collapsed="false">
      <c r="A36" s="6" t="s">
        <v>50</v>
      </c>
      <c r="B36" s="12" t="n">
        <v>150000</v>
      </c>
      <c r="C36" s="12" t="n">
        <v>154500</v>
      </c>
      <c r="D36" s="12" t="n">
        <v>159135</v>
      </c>
      <c r="E36" s="12" t="n">
        <v>163909</v>
      </c>
      <c r="F36" s="12" t="n">
        <v>168826</v>
      </c>
    </row>
    <row r="37" customFormat="false" ht="15" hidden="false" customHeight="true" outlineLevel="0" collapsed="false">
      <c r="A37" s="6" t="s">
        <v>51</v>
      </c>
      <c r="B37" s="10" t="n">
        <v>0.3</v>
      </c>
      <c r="C37" s="10" t="n">
        <v>0.25</v>
      </c>
      <c r="D37" s="10" t="n">
        <v>0.2</v>
      </c>
      <c r="E37" s="10" t="n">
        <v>0.16</v>
      </c>
      <c r="F37" s="10" t="n">
        <v>0.14</v>
      </c>
    </row>
    <row r="38" customFormat="false" ht="15" hidden="false" customHeight="true" outlineLevel="0" collapsed="false">
      <c r="A38" s="6" t="s">
        <v>52</v>
      </c>
      <c r="B38" s="12" t="n">
        <v>350000</v>
      </c>
      <c r="C38" s="12" t="n">
        <v>600000</v>
      </c>
      <c r="D38" s="12" t="n">
        <v>900000</v>
      </c>
      <c r="E38" s="12" t="n">
        <v>1200000</v>
      </c>
      <c r="F38" s="12" t="n">
        <v>1400000</v>
      </c>
    </row>
    <row r="39" customFormat="false" ht="15" hidden="false" customHeight="true" outlineLevel="0" collapsed="false">
      <c r="A39" s="6" t="s">
        <v>53</v>
      </c>
      <c r="B39" s="12" t="n">
        <v>140000</v>
      </c>
      <c r="C39" s="12" t="n">
        <v>200000</v>
      </c>
      <c r="D39" s="12" t="n">
        <v>240000</v>
      </c>
      <c r="E39" s="12" t="n">
        <v>270000</v>
      </c>
      <c r="F39" s="12" t="n">
        <v>300000</v>
      </c>
    </row>
    <row r="40" customFormat="false" ht="15" hidden="false" customHeight="true" outlineLevel="0" collapsed="false">
      <c r="A40" s="6" t="s">
        <v>54</v>
      </c>
      <c r="B40" s="12" t="n">
        <v>9000</v>
      </c>
      <c r="C40" s="12" t="n">
        <v>9000</v>
      </c>
      <c r="D40" s="12" t="n">
        <v>9500</v>
      </c>
      <c r="E40" s="12" t="n">
        <v>9500</v>
      </c>
      <c r="F40" s="12" t="n">
        <v>10000</v>
      </c>
    </row>
    <row r="42" customFormat="false" ht="15" hidden="false" customHeight="true" outlineLevel="0" collapsed="false">
      <c r="A42" s="5" t="s">
        <v>55</v>
      </c>
    </row>
    <row r="43" customFormat="false" ht="15" hidden="false" customHeight="true" outlineLevel="0" collapsed="false">
      <c r="A43" s="6" t="s">
        <v>56</v>
      </c>
      <c r="B43" s="7" t="n">
        <v>30</v>
      </c>
      <c r="D43" s="4" t="s">
        <v>57</v>
      </c>
    </row>
    <row r="44" customFormat="false" ht="15" hidden="false" customHeight="true" outlineLevel="0" collapsed="false">
      <c r="A44" s="6" t="s">
        <v>58</v>
      </c>
      <c r="B44" s="7" t="n">
        <v>30</v>
      </c>
      <c r="D44" s="4" t="s">
        <v>20</v>
      </c>
    </row>
    <row r="45" customFormat="false" ht="15" hidden="false" customHeight="true" outlineLevel="0" collapsed="false">
      <c r="A45" s="6" t="s">
        <v>59</v>
      </c>
      <c r="B45" s="12" t="n">
        <v>0</v>
      </c>
      <c r="D45" s="4" t="s">
        <v>60</v>
      </c>
    </row>
    <row r="46" customFormat="false" ht="15" hidden="false" customHeight="true" outlineLevel="0" collapsed="false">
      <c r="A46" s="6" t="s">
        <v>61</v>
      </c>
      <c r="B46" s="12" t="n">
        <v>750000</v>
      </c>
      <c r="D46" s="4" t="s">
        <v>62</v>
      </c>
    </row>
    <row r="47" customFormat="false" ht="15" hidden="false" customHeight="true" outlineLevel="0" collapsed="false">
      <c r="A47" s="6" t="s">
        <v>63</v>
      </c>
      <c r="B47" s="12" t="n">
        <v>4000</v>
      </c>
      <c r="D47" s="4" t="s">
        <v>64</v>
      </c>
    </row>
    <row r="48" customFormat="false" ht="15" hidden="false" customHeight="true" outlineLevel="0" collapsed="false">
      <c r="A48" s="6" t="s">
        <v>65</v>
      </c>
      <c r="B48" s="7" t="n">
        <v>3</v>
      </c>
      <c r="D48" s="4" t="s">
        <v>66</v>
      </c>
    </row>
    <row r="49" customFormat="false" ht="15" hidden="false" customHeight="true" outlineLevel="0" collapsed="false">
      <c r="A49" s="6" t="s">
        <v>67</v>
      </c>
      <c r="B49" s="10" t="n">
        <v>0.25</v>
      </c>
      <c r="D49" s="4" t="s">
        <v>68</v>
      </c>
    </row>
    <row r="52" customFormat="false" ht="15" hidden="false" customHeight="true" outlineLevel="0" collapsed="false">
      <c r="A52" s="17" t="s">
        <v>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7" min="2" style="1" width="15"/>
  </cols>
  <sheetData>
    <row r="1" customFormat="false" ht="17.25" hidden="false" customHeight="true" outlineLevel="0" collapsed="false">
      <c r="A1" s="2" t="s">
        <v>70</v>
      </c>
    </row>
    <row r="2" customFormat="false" ht="15" hidden="false" customHeight="true" outlineLevel="0" collapsed="false">
      <c r="A2" s="3" t="s">
        <v>71</v>
      </c>
    </row>
    <row r="4" customFormat="false" ht="15" hidden="false" customHeight="true" outlineLevel="0" collapsed="false">
      <c r="A4" s="13" t="s">
        <v>48</v>
      </c>
      <c r="B4" s="14" t="s">
        <v>30</v>
      </c>
      <c r="C4" s="14" t="s">
        <v>31</v>
      </c>
      <c r="D4" s="14" t="s">
        <v>32</v>
      </c>
      <c r="E4" s="14" t="s">
        <v>33</v>
      </c>
      <c r="F4" s="14" t="s">
        <v>34</v>
      </c>
    </row>
    <row r="5" customFormat="false" ht="15" hidden="false" customHeight="true" outlineLevel="0" collapsed="false">
      <c r="A5" s="5" t="s">
        <v>72</v>
      </c>
    </row>
    <row r="6" customFormat="false" ht="15" hidden="false" customHeight="true" outlineLevel="0" collapsed="false">
      <c r="A6" s="6" t="s">
        <v>73</v>
      </c>
      <c r="B6" s="18" t="n">
        <f aca="false">0</f>
        <v>0</v>
      </c>
      <c r="C6" s="18" t="n">
        <f aca="false">B8</f>
        <v>42.75</v>
      </c>
      <c r="D6" s="18" t="n">
        <f aca="false">C8</f>
        <v>241.73</v>
      </c>
      <c r="E6" s="18" t="n">
        <f aca="false">D8</f>
        <v>685.557</v>
      </c>
      <c r="F6" s="18" t="n">
        <f aca="false">E8</f>
        <v>1247.0013</v>
      </c>
    </row>
    <row r="7" customFormat="false" ht="15" hidden="false" customHeight="true" outlineLevel="0" collapsed="false">
      <c r="A7" s="6" t="s">
        <v>74</v>
      </c>
      <c r="B7" s="19" t="n">
        <f aca="false">Assumptions!B23</f>
        <v>45</v>
      </c>
      <c r="C7" s="19" t="n">
        <f aca="false">Assumptions!C23</f>
        <v>220</v>
      </c>
      <c r="D7" s="19" t="n">
        <f aca="false">Assumptions!D23</f>
        <v>520</v>
      </c>
      <c r="E7" s="19" t="n">
        <f aca="false">Assumptions!E23</f>
        <v>700</v>
      </c>
      <c r="F7" s="19" t="n">
        <f aca="false">Assumptions!F23</f>
        <v>800</v>
      </c>
    </row>
    <row r="8" customFormat="false" ht="15" hidden="false" customHeight="true" outlineLevel="0" collapsed="false">
      <c r="A8" s="20" t="s">
        <v>75</v>
      </c>
      <c r="B8" s="21" t="n">
        <f aca="false">(B6+B7)*(1-Assumptions!B25)</f>
        <v>42.75</v>
      </c>
      <c r="C8" s="21" t="n">
        <f aca="false">(C6+C7)*(1-Assumptions!C25)</f>
        <v>241.73</v>
      </c>
      <c r="D8" s="21" t="n">
        <f aca="false">(D6+D7)*(1-Assumptions!D25)</f>
        <v>685.557</v>
      </c>
      <c r="E8" s="21" t="n">
        <f aca="false">(E6+E7)*(1-Assumptions!E25)</f>
        <v>1247.0013</v>
      </c>
      <c r="F8" s="21" t="n">
        <f aca="false">(F6+F7)*(1-Assumptions!F25)</f>
        <v>1842.30117</v>
      </c>
    </row>
    <row r="9" customFormat="false" ht="15" hidden="false" customHeight="true" outlineLevel="0" collapsed="false">
      <c r="A9" s="6" t="s">
        <v>76</v>
      </c>
      <c r="B9" s="18" t="n">
        <f aca="false">0</f>
        <v>0</v>
      </c>
      <c r="C9" s="18" t="n">
        <f aca="false">B11</f>
        <v>14.25</v>
      </c>
      <c r="D9" s="18" t="n">
        <f aca="false">C11</f>
        <v>114.31</v>
      </c>
      <c r="E9" s="18" t="n">
        <f aca="false">D11</f>
        <v>399.879</v>
      </c>
      <c r="F9" s="18" t="n">
        <f aca="false">E11</f>
        <v>863.8911</v>
      </c>
    </row>
    <row r="10" customFormat="false" ht="15" hidden="false" customHeight="true" outlineLevel="0" collapsed="false">
      <c r="A10" s="6" t="s">
        <v>77</v>
      </c>
      <c r="B10" s="19" t="n">
        <f aca="false">Assumptions!B24</f>
        <v>15</v>
      </c>
      <c r="C10" s="19" t="n">
        <f aca="false">Assumptions!C24</f>
        <v>110</v>
      </c>
      <c r="D10" s="19" t="n">
        <f aca="false">Assumptions!D24</f>
        <v>330</v>
      </c>
      <c r="E10" s="19" t="n">
        <f aca="false">Assumptions!E24</f>
        <v>560</v>
      </c>
      <c r="F10" s="19" t="n">
        <f aca="false">Assumptions!F24</f>
        <v>760</v>
      </c>
    </row>
    <row r="11" customFormat="false" ht="15" hidden="false" customHeight="true" outlineLevel="0" collapsed="false">
      <c r="A11" s="20" t="s">
        <v>78</v>
      </c>
      <c r="B11" s="21" t="n">
        <f aca="false">(B9+B10)*(1-Assumptions!B25)</f>
        <v>14.25</v>
      </c>
      <c r="C11" s="21" t="n">
        <f aca="false">(C9+C10)*(1-Assumptions!C25)</f>
        <v>114.31</v>
      </c>
      <c r="D11" s="21" t="n">
        <f aca="false">(D9+D10)*(1-Assumptions!D25)</f>
        <v>399.879</v>
      </c>
      <c r="E11" s="21" t="n">
        <f aca="false">(E9+E10)*(1-Assumptions!E25)</f>
        <v>863.8911</v>
      </c>
      <c r="F11" s="21" t="n">
        <f aca="false">(F9+F10)*(1-Assumptions!F25)</f>
        <v>1461.50199</v>
      </c>
    </row>
    <row r="12" customFormat="false" ht="15" hidden="false" customHeight="true" outlineLevel="0" collapsed="false">
      <c r="A12" s="6" t="s">
        <v>79</v>
      </c>
      <c r="B12" s="18" t="n">
        <f aca="false">(B6+B8)/2</f>
        <v>21.375</v>
      </c>
      <c r="C12" s="18" t="n">
        <f aca="false">(C6+C8)/2</f>
        <v>142.24</v>
      </c>
      <c r="D12" s="18" t="n">
        <f aca="false">(D6+D8)/2</f>
        <v>463.6435</v>
      </c>
      <c r="E12" s="18" t="n">
        <f aca="false">(E6+E8)/2</f>
        <v>966.27915</v>
      </c>
      <c r="F12" s="18" t="n">
        <f aca="false">(F6+F8)/2</f>
        <v>1544.651235</v>
      </c>
    </row>
    <row r="13" customFormat="false" ht="15" hidden="false" customHeight="true" outlineLevel="0" collapsed="false">
      <c r="A13" s="6" t="s">
        <v>80</v>
      </c>
      <c r="B13" s="18" t="n">
        <f aca="false">(B9+B11)/2</f>
        <v>7.125</v>
      </c>
      <c r="C13" s="18" t="n">
        <f aca="false">(C9+C11)/2</f>
        <v>64.28</v>
      </c>
      <c r="D13" s="18" t="n">
        <f aca="false">(D9+D11)/2</f>
        <v>257.0945</v>
      </c>
      <c r="E13" s="18" t="n">
        <f aca="false">(E9+E11)/2</f>
        <v>631.88505</v>
      </c>
      <c r="F13" s="18" t="n">
        <f aca="false">(F9+F11)/2</f>
        <v>1162.696545</v>
      </c>
    </row>
    <row r="14" customFormat="false" ht="15" hidden="false" customHeight="true" outlineLevel="0" collapsed="false">
      <c r="A14" s="20" t="s">
        <v>81</v>
      </c>
      <c r="B14" s="21" t="n">
        <f aca="false">B12*Assumptions!$B$7+B13*Assumptions!$B$9</f>
        <v>124.6875</v>
      </c>
      <c r="C14" s="21" t="n">
        <f aca="false">C12*Assumptions!$B$7+C13*Assumptions!$B$9</f>
        <v>871.9</v>
      </c>
      <c r="D14" s="21" t="n">
        <f aca="false">D12*Assumptions!$B$7+D13*Assumptions!$B$9</f>
        <v>2960.95375</v>
      </c>
      <c r="E14" s="21" t="n">
        <f aca="false">E12*Assumptions!$B$7+E13*Assumptions!$B$9</f>
        <v>6411.108375</v>
      </c>
      <c r="F14" s="21" t="n">
        <f aca="false">F12*Assumptions!$B$7+F13*Assumptions!$B$9</f>
        <v>10629.9975375</v>
      </c>
    </row>
    <row r="16" customFormat="false" ht="15" hidden="false" customHeight="true" outlineLevel="0" collapsed="false">
      <c r="A16" s="5" t="s">
        <v>82</v>
      </c>
    </row>
    <row r="17" customFormat="false" ht="15" hidden="false" customHeight="true" outlineLevel="0" collapsed="false">
      <c r="A17" s="6" t="s">
        <v>83</v>
      </c>
      <c r="B17" s="22" t="n">
        <f aca="false">B12*Assumptions!$B$7*Assumptions!$B$12*12</f>
        <v>50017.5</v>
      </c>
      <c r="C17" s="22" t="n">
        <f aca="false">C12*Assumptions!$B$7*Assumptions!$B$12*12</f>
        <v>332841.6</v>
      </c>
      <c r="D17" s="22" t="n">
        <f aca="false">D12*Assumptions!$B$7*Assumptions!$B$12*12</f>
        <v>1084925.79</v>
      </c>
      <c r="E17" s="22" t="n">
        <f aca="false">E12*Assumptions!$B$7*Assumptions!$B$12*12</f>
        <v>2261093.211</v>
      </c>
      <c r="F17" s="22" t="n">
        <f aca="false">F12*Assumptions!$B$7*Assumptions!$B$12*12</f>
        <v>3614483.8899</v>
      </c>
    </row>
    <row r="18" customFormat="false" ht="15" hidden="false" customHeight="true" outlineLevel="0" collapsed="false">
      <c r="A18" s="6" t="s">
        <v>84</v>
      </c>
      <c r="B18" s="22" t="n">
        <f aca="false">B13*Assumptions!$B$9*Assumptions!$B$13*12</f>
        <v>5343.75</v>
      </c>
      <c r="C18" s="22" t="n">
        <f aca="false">C13*Assumptions!$B$9*Assumptions!$B$13*12</f>
        <v>48210</v>
      </c>
      <c r="D18" s="22" t="n">
        <f aca="false">D13*Assumptions!$B$9*Assumptions!$B$13*12</f>
        <v>192820.875</v>
      </c>
      <c r="E18" s="22" t="n">
        <f aca="false">E13*Assumptions!$B$9*Assumptions!$B$13*12</f>
        <v>473913.7875</v>
      </c>
      <c r="F18" s="22" t="n">
        <f aca="false">F13*Assumptions!$B$9*Assumptions!$B$13*12</f>
        <v>872022.40875</v>
      </c>
    </row>
    <row r="19" customFormat="false" ht="15" hidden="false" customHeight="true" outlineLevel="0" collapsed="false">
      <c r="A19" s="6" t="s">
        <v>85</v>
      </c>
      <c r="B19" s="22" t="n">
        <f aca="false">B12*Assumptions!$B$15*Assumptions!$B$14*12</f>
        <v>31421.25</v>
      </c>
      <c r="C19" s="22" t="n">
        <f aca="false">C12*Assumptions!$B$15*Assumptions!$B$14*12</f>
        <v>209092.8</v>
      </c>
      <c r="D19" s="22" t="n">
        <f aca="false">D12*Assumptions!$B$15*Assumptions!$B$14*12</f>
        <v>681555.945</v>
      </c>
      <c r="E19" s="22" t="n">
        <f aca="false">E12*Assumptions!$B$15*Assumptions!$B$14*12</f>
        <v>1420430.3505</v>
      </c>
      <c r="F19" s="22" t="n">
        <f aca="false">F12*Assumptions!$B$15*Assumptions!$B$14*12</f>
        <v>2270637.31545</v>
      </c>
    </row>
    <row r="20" customFormat="false" ht="15" hidden="false" customHeight="true" outlineLevel="0" collapsed="false">
      <c r="A20" s="6" t="s">
        <v>86</v>
      </c>
      <c r="B20" s="22" t="n">
        <f aca="false">0</f>
        <v>0</v>
      </c>
      <c r="C20" s="22" t="n">
        <f aca="false">Assumptions!B23*Assumptions!$B$17*Assumptions!$B$16</f>
        <v>135000</v>
      </c>
      <c r="D20" s="22" t="n">
        <f aca="false">Assumptions!C23*Assumptions!$B$17*Assumptions!$B$16</f>
        <v>660000</v>
      </c>
      <c r="E20" s="22" t="n">
        <f aca="false">Assumptions!D23*Assumptions!$B$17*Assumptions!$B$16</f>
        <v>1560000</v>
      </c>
      <c r="F20" s="22" t="n">
        <f aca="false">Assumptions!E23*Assumptions!$B$17*Assumptions!$B$16</f>
        <v>2100000</v>
      </c>
    </row>
    <row r="21" customFormat="false" ht="15" hidden="false" customHeight="true" outlineLevel="0" collapsed="false">
      <c r="A21" s="6" t="s">
        <v>87</v>
      </c>
      <c r="B21" s="22" t="n">
        <f aca="false">(B12+B13)*Assumptions!$B$19*Assumptions!$B$18</f>
        <v>2137.5</v>
      </c>
      <c r="C21" s="22" t="n">
        <f aca="false">(C12+C13)*Assumptions!$B$19*Assumptions!$B$18</f>
        <v>15489</v>
      </c>
      <c r="D21" s="22" t="n">
        <f aca="false">(D12+D13)*Assumptions!$B$19*Assumptions!$B$18</f>
        <v>54055.35</v>
      </c>
      <c r="E21" s="22" t="n">
        <f aca="false">(E12+E13)*Assumptions!$B$19*Assumptions!$B$18</f>
        <v>119862.315</v>
      </c>
      <c r="F21" s="22" t="n">
        <f aca="false">(F12+F13)*Assumptions!$B$19*Assumptions!$B$18</f>
        <v>203051.0835</v>
      </c>
    </row>
    <row r="22" customFormat="false" ht="15" hidden="false" customHeight="true" outlineLevel="0" collapsed="false">
      <c r="A22" s="20" t="s">
        <v>88</v>
      </c>
      <c r="B22" s="23" t="n">
        <f aca="false">SUM(B17:B21)</f>
        <v>88920</v>
      </c>
      <c r="C22" s="23" t="n">
        <f aca="false">SUM(C17:C21)</f>
        <v>740633.4</v>
      </c>
      <c r="D22" s="23" t="n">
        <f aca="false">SUM(D17:D21)</f>
        <v>2673357.96</v>
      </c>
      <c r="E22" s="23" t="n">
        <f aca="false">SUM(E17:E21)</f>
        <v>5835299.664</v>
      </c>
      <c r="F22" s="23" t="n">
        <f aca="false">SUM(F17:F21)</f>
        <v>9060194.6976</v>
      </c>
    </row>
    <row r="23" customFormat="false" ht="15" hidden="false" customHeight="true" outlineLevel="0" collapsed="false">
      <c r="A23" s="6" t="s">
        <v>89</v>
      </c>
      <c r="B23" s="24" t="s">
        <v>90</v>
      </c>
      <c r="C23" s="24" t="n">
        <f aca="false">IFERROR(C22/B22-1,0)</f>
        <v>7.32921052631579</v>
      </c>
      <c r="D23" s="24" t="n">
        <f aca="false">IFERROR(D22/C22-1,0)</f>
        <v>2.60955630680442</v>
      </c>
      <c r="E23" s="24" t="n">
        <f aca="false">IFERROR(E22/D22-1,0)</f>
        <v>1.18276031541994</v>
      </c>
      <c r="F23" s="24" t="n">
        <f aca="false">IFERROR(F22/E22-1,0)</f>
        <v>0.552652857486566</v>
      </c>
    </row>
    <row r="25" customFormat="false" ht="15" hidden="false" customHeight="true" outlineLevel="0" collapsed="false">
      <c r="A25" s="5" t="s">
        <v>38</v>
      </c>
    </row>
    <row r="26" customFormat="false" ht="15" hidden="false" customHeight="true" outlineLevel="0" collapsed="false">
      <c r="A26" s="6" t="s">
        <v>91</v>
      </c>
      <c r="B26" s="22" t="n">
        <f aca="false">-B14*Assumptions!$B$28*12</f>
        <v>-5236.875</v>
      </c>
      <c r="C26" s="22" t="n">
        <f aca="false">-C14*Assumptions!$B$28*12</f>
        <v>-36619.8</v>
      </c>
      <c r="D26" s="22" t="n">
        <f aca="false">-D14*Assumptions!$B$28*12</f>
        <v>-124360.0575</v>
      </c>
      <c r="E26" s="22" t="n">
        <f aca="false">-E14*Assumptions!$B$28*12</f>
        <v>-269266.55175</v>
      </c>
      <c r="F26" s="22" t="n">
        <f aca="false">-F14*Assumptions!$B$28*12</f>
        <v>-446459.896575</v>
      </c>
    </row>
    <row r="27" customFormat="false" ht="15" hidden="false" customHeight="true" outlineLevel="0" collapsed="false">
      <c r="A27" s="6" t="s">
        <v>92</v>
      </c>
      <c r="B27" s="22" t="n">
        <f aca="false">-B19*Assumptions!$B$29</f>
        <v>-14139.5625</v>
      </c>
      <c r="C27" s="22" t="n">
        <f aca="false">-C19*Assumptions!$B$29</f>
        <v>-94091.76</v>
      </c>
      <c r="D27" s="22" t="n">
        <f aca="false">-D19*Assumptions!$B$29</f>
        <v>-306700.17525</v>
      </c>
      <c r="E27" s="22" t="n">
        <f aca="false">-E19*Assumptions!$B$29</f>
        <v>-639193.657725</v>
      </c>
      <c r="F27" s="22" t="n">
        <f aca="false">-F19*Assumptions!$B$29</f>
        <v>-1021786.7919525</v>
      </c>
    </row>
    <row r="28" customFormat="false" ht="15" hidden="false" customHeight="true" outlineLevel="0" collapsed="false">
      <c r="A28" s="6" t="s">
        <v>93</v>
      </c>
      <c r="B28" s="22" t="n">
        <f aca="false">-B20*Assumptions!$B$30</f>
        <v>-0</v>
      </c>
      <c r="C28" s="22" t="n">
        <f aca="false">-C20*Assumptions!$B$30</f>
        <v>-33750</v>
      </c>
      <c r="D28" s="22" t="n">
        <f aca="false">-D20*Assumptions!$B$30</f>
        <v>-165000</v>
      </c>
      <c r="E28" s="22" t="n">
        <f aca="false">-E20*Assumptions!$B$30</f>
        <v>-390000</v>
      </c>
      <c r="F28" s="22" t="n">
        <f aca="false">-F20*Assumptions!$B$30</f>
        <v>-525000</v>
      </c>
    </row>
    <row r="29" customFormat="false" ht="15" hidden="false" customHeight="true" outlineLevel="0" collapsed="false">
      <c r="A29" s="6" t="s">
        <v>94</v>
      </c>
      <c r="B29" s="22" t="n">
        <f aca="false">-B21*Assumptions!$B$31</f>
        <v>-855</v>
      </c>
      <c r="C29" s="22" t="n">
        <f aca="false">-C21*Assumptions!$B$31</f>
        <v>-6195.6</v>
      </c>
      <c r="D29" s="22" t="n">
        <f aca="false">-D21*Assumptions!$B$31</f>
        <v>-21622.14</v>
      </c>
      <c r="E29" s="22" t="n">
        <f aca="false">-E21*Assumptions!$B$31</f>
        <v>-47944.926</v>
      </c>
      <c r="F29" s="22" t="n">
        <f aca="false">-F21*Assumptions!$B$31</f>
        <v>-81220.4334</v>
      </c>
    </row>
    <row r="30" customFormat="false" ht="15" hidden="false" customHeight="true" outlineLevel="0" collapsed="false">
      <c r="A30" s="20" t="s">
        <v>95</v>
      </c>
      <c r="B30" s="23" t="n">
        <f aca="false">SUM(B26:B29)</f>
        <v>-20231.4375</v>
      </c>
      <c r="C30" s="23" t="n">
        <f aca="false">SUM(C26:C29)</f>
        <v>-170657.16</v>
      </c>
      <c r="D30" s="23" t="n">
        <f aca="false">SUM(D26:D29)</f>
        <v>-617682.37275</v>
      </c>
      <c r="E30" s="23" t="n">
        <f aca="false">SUM(E26:E29)</f>
        <v>-1346405.135475</v>
      </c>
      <c r="F30" s="23" t="n">
        <f aca="false">SUM(F26:F29)</f>
        <v>-2074467.1219275</v>
      </c>
    </row>
    <row r="31" customFormat="false" ht="15" hidden="false" customHeight="true" outlineLevel="0" collapsed="false">
      <c r="A31" s="20" t="s">
        <v>96</v>
      </c>
      <c r="B31" s="23" t="n">
        <f aca="false">B22+B30</f>
        <v>68688.5625</v>
      </c>
      <c r="C31" s="23" t="n">
        <f aca="false">C22+C30</f>
        <v>569976.24</v>
      </c>
      <c r="D31" s="23" t="n">
        <f aca="false">D22+D30</f>
        <v>2055675.58725</v>
      </c>
      <c r="E31" s="23" t="n">
        <f aca="false">E22+E30</f>
        <v>4488894.528525</v>
      </c>
      <c r="F31" s="23" t="n">
        <f aca="false">F22+F30</f>
        <v>6985727.5756725</v>
      </c>
    </row>
    <row r="32" customFormat="false" ht="15" hidden="false" customHeight="true" outlineLevel="0" collapsed="false">
      <c r="A32" s="20" t="s">
        <v>97</v>
      </c>
      <c r="B32" s="25" t="n">
        <f aca="false">IFERROR(B31/B22,0)</f>
        <v>0.772475961538462</v>
      </c>
      <c r="C32" s="25" t="n">
        <f aca="false">IFERROR(C31/C22,0)</f>
        <v>0.769579443757195</v>
      </c>
      <c r="D32" s="25" t="n">
        <f aca="false">IFERROR(D31/D22,0)</f>
        <v>0.768948871796428</v>
      </c>
      <c r="E32" s="25" t="n">
        <f aca="false">IFERROR(E31/E22,0)</f>
        <v>0.769265468270388</v>
      </c>
      <c r="F32" s="25" t="n">
        <f aca="false">IFERROR(F31/F22,0)</f>
        <v>0.771035039404063</v>
      </c>
    </row>
    <row r="34" customFormat="false" ht="15" hidden="false" customHeight="true" outlineLevel="0" collapsed="false">
      <c r="A34" s="5" t="s">
        <v>47</v>
      </c>
    </row>
    <row r="35" customFormat="false" ht="15" hidden="false" customHeight="true" outlineLevel="0" collapsed="false">
      <c r="A35" s="6" t="s">
        <v>98</v>
      </c>
      <c r="B35" s="22" t="n">
        <f aca="false">-Assumptions!B35*Assumptions!B36</f>
        <v>-1350000</v>
      </c>
      <c r="C35" s="22" t="n">
        <f aca="false">-Assumptions!C35*Assumptions!C36</f>
        <v>-3090000</v>
      </c>
      <c r="D35" s="22" t="n">
        <f aca="false">-Assumptions!D35*Assumptions!D36</f>
        <v>-5728860</v>
      </c>
      <c r="E35" s="22" t="n">
        <f aca="false">-Assumptions!E35*Assumptions!E36</f>
        <v>-8851086</v>
      </c>
      <c r="F35" s="22" t="n">
        <f aca="false">-Assumptions!F35*Assumptions!F36</f>
        <v>-11817820</v>
      </c>
    </row>
    <row r="36" customFormat="false" ht="15" hidden="false" customHeight="true" outlineLevel="0" collapsed="false">
      <c r="A36" s="6" t="s">
        <v>99</v>
      </c>
      <c r="B36" s="22" t="n">
        <f aca="false">-MAX(B22*Assumptions!B37,Assumptions!B38)</f>
        <v>-350000</v>
      </c>
      <c r="C36" s="22" t="n">
        <f aca="false">-MAX(C22*Assumptions!C37,Assumptions!C38)</f>
        <v>-600000</v>
      </c>
      <c r="D36" s="22" t="n">
        <f aca="false">-MAX(D22*Assumptions!D37,Assumptions!D38)</f>
        <v>-900000</v>
      </c>
      <c r="E36" s="22" t="n">
        <f aca="false">-MAX(E22*Assumptions!E37,Assumptions!E38)</f>
        <v>-1200000</v>
      </c>
      <c r="F36" s="22" t="n">
        <f aca="false">-MAX(F22*Assumptions!F37,Assumptions!F38)</f>
        <v>-1400000</v>
      </c>
    </row>
    <row r="37" customFormat="false" ht="15" hidden="false" customHeight="true" outlineLevel="0" collapsed="false">
      <c r="A37" s="6" t="s">
        <v>100</v>
      </c>
      <c r="B37" s="22" t="n">
        <f aca="false">-Assumptions!B39</f>
        <v>-140000</v>
      </c>
      <c r="C37" s="22" t="n">
        <f aca="false">-Assumptions!C39</f>
        <v>-200000</v>
      </c>
      <c r="D37" s="22" t="n">
        <f aca="false">-Assumptions!D39</f>
        <v>-240000</v>
      </c>
      <c r="E37" s="22" t="n">
        <f aca="false">-Assumptions!E39</f>
        <v>-270000</v>
      </c>
      <c r="F37" s="22" t="n">
        <f aca="false">-Assumptions!F39</f>
        <v>-300000</v>
      </c>
    </row>
    <row r="38" customFormat="false" ht="15" hidden="false" customHeight="true" outlineLevel="0" collapsed="false">
      <c r="A38" s="6" t="s">
        <v>101</v>
      </c>
      <c r="B38" s="22" t="n">
        <f aca="false">-Assumptions!B35*Assumptions!B40</f>
        <v>-81000</v>
      </c>
      <c r="C38" s="22" t="n">
        <f aca="false">-Assumptions!C35*Assumptions!C40</f>
        <v>-180000</v>
      </c>
      <c r="D38" s="22" t="n">
        <f aca="false">-Assumptions!D35*Assumptions!D40</f>
        <v>-342000</v>
      </c>
      <c r="E38" s="22" t="n">
        <f aca="false">-Assumptions!E35*Assumptions!E40</f>
        <v>-513000</v>
      </c>
      <c r="F38" s="22" t="n">
        <f aca="false">-Assumptions!F35*Assumptions!F40</f>
        <v>-700000</v>
      </c>
    </row>
    <row r="39" customFormat="false" ht="15" hidden="false" customHeight="true" outlineLevel="0" collapsed="false">
      <c r="A39" s="20" t="s">
        <v>102</v>
      </c>
      <c r="B39" s="23" t="n">
        <f aca="false">SUM(B35:B38)</f>
        <v>-1921000</v>
      </c>
      <c r="C39" s="23" t="n">
        <f aca="false">SUM(C35:C38)</f>
        <v>-4070000</v>
      </c>
      <c r="D39" s="23" t="n">
        <f aca="false">SUM(D35:D38)</f>
        <v>-7210860</v>
      </c>
      <c r="E39" s="23" t="n">
        <f aca="false">SUM(E35:E38)</f>
        <v>-10834086</v>
      </c>
      <c r="F39" s="23" t="n">
        <f aca="false">SUM(F35:F38)</f>
        <v>-14217820</v>
      </c>
    </row>
    <row r="40" customFormat="false" ht="15" hidden="false" customHeight="true" outlineLevel="0" collapsed="false">
      <c r="A40" s="20" t="s">
        <v>103</v>
      </c>
      <c r="B40" s="23" t="n">
        <f aca="false">B31+B39</f>
        <v>-1852311.4375</v>
      </c>
      <c r="C40" s="23" t="n">
        <f aca="false">C31+C39</f>
        <v>-3500023.76</v>
      </c>
      <c r="D40" s="23" t="n">
        <f aca="false">D31+D39</f>
        <v>-5155184.41275</v>
      </c>
      <c r="E40" s="23" t="n">
        <f aca="false">E31+E39</f>
        <v>-6345191.471475</v>
      </c>
      <c r="F40" s="23" t="n">
        <f aca="false">F31+F39</f>
        <v>-7232092.4243275</v>
      </c>
    </row>
    <row r="41" customFormat="false" ht="15" hidden="false" customHeight="true" outlineLevel="0" collapsed="false">
      <c r="A41" s="6" t="s">
        <v>104</v>
      </c>
      <c r="B41" s="24" t="n">
        <f aca="false">IFERROR(B40/B22,0)</f>
        <v>-20.8312127474134</v>
      </c>
      <c r="C41" s="24" t="n">
        <f aca="false">IFERROR(C40/C22,0)</f>
        <v>-4.72571687963303</v>
      </c>
      <c r="D41" s="24" t="n">
        <f aca="false">IFERROR(D40/D22,0)</f>
        <v>-1.92835545777416</v>
      </c>
      <c r="E41" s="24" t="n">
        <f aca="false">IFERROR(E40/E22,0)</f>
        <v>-1.08738056943685</v>
      </c>
      <c r="F41" s="24" t="n">
        <f aca="false">IFERROR(F40/F22,0)</f>
        <v>-0.79822704320507</v>
      </c>
    </row>
    <row r="43" customFormat="false" ht="15" hidden="false" customHeight="true" outlineLevel="0" collapsed="false">
      <c r="A43" s="5" t="s">
        <v>105</v>
      </c>
    </row>
    <row r="44" customFormat="false" ht="15" hidden="false" customHeight="true" outlineLevel="0" collapsed="false">
      <c r="A44" s="6" t="s">
        <v>106</v>
      </c>
      <c r="B44" s="22" t="n">
        <f aca="false">-Assumptions!B35*Assumptions!$B$47</f>
        <v>-36000</v>
      </c>
      <c r="C44" s="22" t="n">
        <f aca="false">-Assumptions!C35*Assumptions!$B$47</f>
        <v>-80000</v>
      </c>
      <c r="D44" s="22" t="n">
        <f aca="false">-Assumptions!D35*Assumptions!$B$47</f>
        <v>-144000</v>
      </c>
      <c r="E44" s="22" t="n">
        <f aca="false">-Assumptions!E35*Assumptions!$B$47</f>
        <v>-216000</v>
      </c>
      <c r="F44" s="22" t="n">
        <f aca="false">-Assumptions!F35*Assumptions!$B$47</f>
        <v>-280000</v>
      </c>
    </row>
    <row r="45" customFormat="false" ht="15" hidden="false" customHeight="true" outlineLevel="0" collapsed="false">
      <c r="A45" s="6" t="s">
        <v>107</v>
      </c>
      <c r="B45" s="22" t="n">
        <f aca="false">SUM(B44:B44)/Assumptions!$B$48</f>
        <v>-12000</v>
      </c>
      <c r="C45" s="22" t="n">
        <f aca="false">SUM(B44:C44)/Assumptions!$B$48</f>
        <v>-38666.6666666667</v>
      </c>
      <c r="D45" s="22" t="n">
        <f aca="false">SUM(B44:D44)/Assumptions!$B$48</f>
        <v>-86666.6666666667</v>
      </c>
      <c r="E45" s="22" t="n">
        <f aca="false">SUM(C44:E44)/Assumptions!$B$48</f>
        <v>-146666.666666667</v>
      </c>
      <c r="F45" s="22" t="n">
        <f aca="false">SUM(D44:F44)/Assumptions!$B$48</f>
        <v>-213333.333333333</v>
      </c>
    </row>
    <row r="46" customFormat="false" ht="15" hidden="false" customHeight="true" outlineLevel="0" collapsed="false">
      <c r="A46" s="20" t="s">
        <v>108</v>
      </c>
      <c r="B46" s="23" t="n">
        <f aca="false">B40+B45</f>
        <v>-1864311.4375</v>
      </c>
      <c r="C46" s="23" t="n">
        <f aca="false">C40+C45</f>
        <v>-3538690.42666667</v>
      </c>
      <c r="D46" s="23" t="n">
        <f aca="false">D40+D45</f>
        <v>-5241851.07941667</v>
      </c>
      <c r="E46" s="23" t="n">
        <f aca="false">E40+E45</f>
        <v>-6491858.13814167</v>
      </c>
      <c r="F46" s="23" t="n">
        <f aca="false">F40+F45</f>
        <v>-7445425.75766083</v>
      </c>
    </row>
    <row r="47" customFormat="false" ht="15" hidden="false" customHeight="true" outlineLevel="0" collapsed="false">
      <c r="A47" s="6" t="s">
        <v>109</v>
      </c>
      <c r="B47" s="22" t="n">
        <f aca="false">0</f>
        <v>0</v>
      </c>
      <c r="C47" s="22" t="n">
        <f aca="false">0</f>
        <v>0</v>
      </c>
      <c r="D47" s="22" t="n">
        <f aca="false">0</f>
        <v>0</v>
      </c>
      <c r="E47" s="22" t="n">
        <f aca="false">0</f>
        <v>0</v>
      </c>
      <c r="F47" s="22" t="n">
        <f aca="false">0</f>
        <v>0</v>
      </c>
    </row>
    <row r="48" customFormat="false" ht="15" hidden="false" customHeight="true" outlineLevel="0" collapsed="false">
      <c r="A48" s="20" t="s">
        <v>110</v>
      </c>
      <c r="B48" s="23" t="n">
        <f aca="false">B46+B47</f>
        <v>-1864311.4375</v>
      </c>
      <c r="C48" s="23" t="n">
        <f aca="false">C46+C47</f>
        <v>-3538690.42666667</v>
      </c>
      <c r="D48" s="23" t="n">
        <f aca="false">D46+D47</f>
        <v>-5241851.07941667</v>
      </c>
      <c r="E48" s="23" t="n">
        <f aca="false">E46+E47</f>
        <v>-6491858.13814167</v>
      </c>
      <c r="F48" s="23" t="n">
        <f aca="false">F46+F47</f>
        <v>-7445425.75766083</v>
      </c>
    </row>
    <row r="49" customFormat="false" ht="15" hidden="false" customHeight="true" outlineLevel="0" collapsed="false">
      <c r="A49" s="6" t="s">
        <v>111</v>
      </c>
      <c r="B49" s="22" t="n">
        <f aca="false">0</f>
        <v>0</v>
      </c>
      <c r="C49" s="22" t="n">
        <f aca="false">B52</f>
        <v>1864311.4375</v>
      </c>
      <c r="D49" s="22" t="n">
        <f aca="false">C52</f>
        <v>5403001.86416667</v>
      </c>
      <c r="E49" s="22" t="n">
        <f aca="false">D52</f>
        <v>10644852.9435833</v>
      </c>
      <c r="F49" s="22" t="n">
        <f aca="false">E52</f>
        <v>17136711.081725</v>
      </c>
    </row>
    <row r="50" customFormat="false" ht="15" hidden="false" customHeight="true" outlineLevel="0" collapsed="false">
      <c r="A50" s="6" t="s">
        <v>112</v>
      </c>
      <c r="B50" s="22" t="n">
        <f aca="false">MIN(B49,MAX(0,B48))</f>
        <v>0</v>
      </c>
      <c r="C50" s="22" t="n">
        <f aca="false">MIN(C49,MAX(0,C48))</f>
        <v>0</v>
      </c>
      <c r="D50" s="22" t="n">
        <f aca="false">MIN(D49,MAX(0,D48))</f>
        <v>0</v>
      </c>
      <c r="E50" s="22" t="n">
        <f aca="false">MIN(E49,MAX(0,E48))</f>
        <v>0</v>
      </c>
      <c r="F50" s="22" t="n">
        <f aca="false">MIN(F49,MAX(0,F48))</f>
        <v>0</v>
      </c>
    </row>
    <row r="51" customFormat="false" ht="15" hidden="false" customHeight="true" outlineLevel="0" collapsed="false">
      <c r="A51" s="6" t="s">
        <v>113</v>
      </c>
      <c r="B51" s="22" t="n">
        <f aca="false">MAX(0,B48-B50)</f>
        <v>0</v>
      </c>
      <c r="C51" s="22" t="n">
        <f aca="false">MAX(0,C48-C50)</f>
        <v>0</v>
      </c>
      <c r="D51" s="22" t="n">
        <f aca="false">MAX(0,D48-D50)</f>
        <v>0</v>
      </c>
      <c r="E51" s="22" t="n">
        <f aca="false">MAX(0,E48-E50)</f>
        <v>0</v>
      </c>
      <c r="F51" s="22" t="n">
        <f aca="false">MAX(0,F48-F50)</f>
        <v>0</v>
      </c>
    </row>
    <row r="52" customFormat="false" ht="15" hidden="false" customHeight="true" outlineLevel="0" collapsed="false">
      <c r="A52" s="6" t="s">
        <v>114</v>
      </c>
      <c r="B52" s="22" t="n">
        <f aca="false">B49-B50+MAX(0,-B48)</f>
        <v>1864311.4375</v>
      </c>
      <c r="C52" s="22" t="n">
        <f aca="false">C49-C50+MAX(0,-C48)</f>
        <v>5403001.86416667</v>
      </c>
      <c r="D52" s="22" t="n">
        <f aca="false">D49-D50+MAX(0,-D48)</f>
        <v>10644852.9435833</v>
      </c>
      <c r="E52" s="22" t="n">
        <f aca="false">E49-E50+MAX(0,-E48)</f>
        <v>17136711.081725</v>
      </c>
      <c r="F52" s="22" t="n">
        <f aca="false">F49-F50+MAX(0,-F48)</f>
        <v>24582136.8393858</v>
      </c>
    </row>
    <row r="53" customFormat="false" ht="15" hidden="false" customHeight="true" outlineLevel="0" collapsed="false">
      <c r="A53" s="6" t="s">
        <v>115</v>
      </c>
      <c r="B53" s="22" t="n">
        <f aca="false">-B51*Assumptions!$B$49</f>
        <v>-0</v>
      </c>
      <c r="C53" s="22" t="n">
        <f aca="false">-C51*Assumptions!$B$49</f>
        <v>-0</v>
      </c>
      <c r="D53" s="22" t="n">
        <f aca="false">-D51*Assumptions!$B$49</f>
        <v>-0</v>
      </c>
      <c r="E53" s="22" t="n">
        <f aca="false">-E51*Assumptions!$B$49</f>
        <v>-0</v>
      </c>
      <c r="F53" s="22" t="n">
        <f aca="false">-F51*Assumptions!$B$49</f>
        <v>-0</v>
      </c>
    </row>
    <row r="54" customFormat="false" ht="15" hidden="false" customHeight="true" outlineLevel="0" collapsed="false">
      <c r="A54" s="26" t="s">
        <v>116</v>
      </c>
      <c r="B54" s="27" t="n">
        <f aca="false">B48+B53</f>
        <v>-1864311.4375</v>
      </c>
      <c r="C54" s="27" t="n">
        <f aca="false">C48+C53</f>
        <v>-3538690.42666667</v>
      </c>
      <c r="D54" s="27" t="n">
        <f aca="false">D48+D53</f>
        <v>-5241851.07941667</v>
      </c>
      <c r="E54" s="27" t="n">
        <f aca="false">E48+E53</f>
        <v>-6491858.13814167</v>
      </c>
      <c r="F54" s="27" t="n">
        <f aca="false">F48+F53</f>
        <v>-7445425.75766083</v>
      </c>
    </row>
    <row r="55" customFormat="false" ht="15" hidden="false" customHeight="true" outlineLevel="0" collapsed="false">
      <c r="A55" s="6" t="s">
        <v>117</v>
      </c>
      <c r="B55" s="24" t="n">
        <f aca="false">IFERROR(B54/B22,0)</f>
        <v>-20.9661655139451</v>
      </c>
      <c r="C55" s="24" t="n">
        <f aca="false">IFERROR(C54/C22,0)</f>
        <v>-4.77792444503133</v>
      </c>
      <c r="D55" s="24" t="n">
        <f aca="false">IFERROR(D54/D22,0)</f>
        <v>-1.96077411175295</v>
      </c>
      <c r="E55" s="24" t="n">
        <f aca="false">IFERROR(E54/E22,0)</f>
        <v>-1.11251495414918</v>
      </c>
      <c r="F55" s="24" t="n">
        <f aca="false">IFERROR(F54/F22,0)</f>
        <v>-0.82177326273497</v>
      </c>
    </row>
    <row r="57" customFormat="false" ht="15" hidden="false" customHeight="true" outlineLevel="0" collapsed="false">
      <c r="A57" s="5" t="s">
        <v>118</v>
      </c>
    </row>
    <row r="58" customFormat="false" ht="15" hidden="false" customHeight="true" outlineLevel="0" collapsed="false">
      <c r="A58" s="6" t="s">
        <v>119</v>
      </c>
      <c r="B58" s="22" t="n">
        <f aca="false">-(B22-0)*Assumptions!$B$43/365</f>
        <v>-7308.49315068493</v>
      </c>
      <c r="C58" s="22" t="n">
        <f aca="false">-(C22-B22)*Assumptions!$B$43/365</f>
        <v>-53565.4849315069</v>
      </c>
      <c r="D58" s="22" t="n">
        <f aca="false">-(D22-C22)*Assumptions!$B$43/365</f>
        <v>-158854.073424658</v>
      </c>
      <c r="E58" s="22" t="n">
        <f aca="false">-(E22-D22)*Assumptions!$B$43/365</f>
        <v>-259885.619506849</v>
      </c>
      <c r="F58" s="22" t="n">
        <f aca="false">-(F22-E22)*Assumptions!$B$43/365</f>
        <v>-265059.865775343</v>
      </c>
    </row>
    <row r="59" customFormat="false" ht="15" hidden="false" customHeight="true" outlineLevel="0" collapsed="false">
      <c r="A59" s="6" t="s">
        <v>120</v>
      </c>
      <c r="B59" s="22" t="n">
        <f aca="false">-(B30+B39-(0))*Assumptions!$B$44/365</f>
        <v>159553.268835616</v>
      </c>
      <c r="C59" s="22" t="n">
        <f aca="false">-(C30+C39-(B30+B39))*Assumptions!$B$44/365</f>
        <v>188993.895</v>
      </c>
      <c r="D59" s="22" t="n">
        <f aca="false">-(D30+D39-(C30+C39))*Assumptions!$B$44/365</f>
        <v>294894.675020548</v>
      </c>
      <c r="E59" s="22" t="n">
        <f aca="false">-(E30+E39-(D30+D39))*Assumptions!$B$44/365</f>
        <v>357694.41885411</v>
      </c>
      <c r="F59" s="22" t="n">
        <f aca="false">-(F30+F39-(E30+E39))*Assumptions!$B$44/365</f>
        <v>337955.834502945</v>
      </c>
    </row>
    <row r="60" customFormat="false" ht="15" hidden="false" customHeight="true" outlineLevel="0" collapsed="false">
      <c r="A60" s="6" t="s">
        <v>121</v>
      </c>
      <c r="B60" s="22" t="n">
        <f aca="false">-B45</f>
        <v>12000</v>
      </c>
      <c r="C60" s="22" t="n">
        <f aca="false">-C45</f>
        <v>38666.6666666667</v>
      </c>
      <c r="D60" s="22" t="n">
        <f aca="false">-D45</f>
        <v>86666.6666666667</v>
      </c>
      <c r="E60" s="22" t="n">
        <f aca="false">-E45</f>
        <v>146666.666666667</v>
      </c>
      <c r="F60" s="22" t="n">
        <f aca="false">-F45</f>
        <v>213333.333333333</v>
      </c>
    </row>
    <row r="61" customFormat="false" ht="15" hidden="false" customHeight="true" outlineLevel="0" collapsed="false">
      <c r="A61" s="6" t="s">
        <v>122</v>
      </c>
      <c r="B61" s="22" t="n">
        <f aca="false">B44</f>
        <v>-36000</v>
      </c>
      <c r="C61" s="22" t="n">
        <f aca="false">C44</f>
        <v>-80000</v>
      </c>
      <c r="D61" s="22" t="n">
        <f aca="false">D44</f>
        <v>-144000</v>
      </c>
      <c r="E61" s="22" t="n">
        <f aca="false">E44</f>
        <v>-216000</v>
      </c>
      <c r="F61" s="22" t="n">
        <f aca="false">F44</f>
        <v>-280000</v>
      </c>
    </row>
    <row r="62" customFormat="false" ht="15" hidden="false" customHeight="true" outlineLevel="0" collapsed="false">
      <c r="A62" s="20" t="s">
        <v>123</v>
      </c>
      <c r="B62" s="23" t="n">
        <f aca="false">B54+B60+B58+B59+B61</f>
        <v>-1736066.66181507</v>
      </c>
      <c r="C62" s="23" t="n">
        <f aca="false">C54+C60+C58+C59+C61</f>
        <v>-3444595.34993151</v>
      </c>
      <c r="D62" s="23" t="n">
        <f aca="false">D54+D60+D58+D59+D61</f>
        <v>-5163143.81115411</v>
      </c>
      <c r="E62" s="23" t="n">
        <f aca="false">E54+E60+E58+E59+E61</f>
        <v>-6463382.67212774</v>
      </c>
      <c r="F62" s="23" t="n">
        <f aca="false">F54+F60+F58+F59+F61</f>
        <v>-7439196.4555999</v>
      </c>
    </row>
    <row r="63" customFormat="false" ht="15" hidden="false" customHeight="true" outlineLevel="0" collapsed="false">
      <c r="A63" s="6" t="s">
        <v>124</v>
      </c>
      <c r="B63" s="22" t="n">
        <f aca="false">Assumptions!$B$45</f>
        <v>0</v>
      </c>
      <c r="C63" s="22" t="n">
        <f aca="false">B64</f>
        <v>-1736066.66181507</v>
      </c>
      <c r="D63" s="22" t="n">
        <f aca="false">C64</f>
        <v>-5180662.01174658</v>
      </c>
      <c r="E63" s="22" t="n">
        <f aca="false">D64</f>
        <v>-10343805.8229007</v>
      </c>
      <c r="F63" s="22" t="n">
        <f aca="false">E64</f>
        <v>-16807188.4950284</v>
      </c>
    </row>
    <row r="64" customFormat="false" ht="15" hidden="false" customHeight="true" outlineLevel="0" collapsed="false">
      <c r="A64" s="20" t="s">
        <v>125</v>
      </c>
      <c r="B64" s="23" t="n">
        <f aca="false">B63+B62</f>
        <v>-1736066.66181507</v>
      </c>
      <c r="C64" s="23" t="n">
        <f aca="false">C63+C62</f>
        <v>-5180662.01174658</v>
      </c>
      <c r="D64" s="23" t="n">
        <f aca="false">D63+D62</f>
        <v>-10343805.8229007</v>
      </c>
      <c r="E64" s="23" t="n">
        <f aca="false">E63+E62</f>
        <v>-16807188.4950284</v>
      </c>
      <c r="F64" s="23" t="n">
        <f aca="false">F63+F62</f>
        <v>-24246384.9506283</v>
      </c>
    </row>
    <row r="66" customFormat="false" ht="15" hidden="false" customHeight="true" outlineLevel="0" collapsed="false">
      <c r="A66" s="5" t="s">
        <v>126</v>
      </c>
    </row>
    <row r="67" customFormat="false" ht="15" hidden="false" customHeight="true" outlineLevel="0" collapsed="false">
      <c r="A67" s="6" t="s">
        <v>127</v>
      </c>
      <c r="B67" s="23" t="n">
        <f aca="false">MIN(B64:F64)</f>
        <v>-24246384.9506283</v>
      </c>
    </row>
    <row r="68" customFormat="false" ht="15" hidden="false" customHeight="true" outlineLevel="0" collapsed="false">
      <c r="A68" s="6" t="s">
        <v>128</v>
      </c>
      <c r="B68" s="28" t="n">
        <f aca="false">-Assumptions!$B$46</f>
        <v>-750000</v>
      </c>
    </row>
    <row r="69" customFormat="false" ht="15" hidden="false" customHeight="true" outlineLevel="0" collapsed="false">
      <c r="A69" s="20" t="s">
        <v>129</v>
      </c>
      <c r="B69" s="27" t="n">
        <f aca="false">-MIN(0,B67+B68)</f>
        <v>24996384.9506283</v>
      </c>
    </row>
    <row r="71" customFormat="false" ht="15" hidden="false" customHeight="true" outlineLevel="0" collapsed="false">
      <c r="A71" s="17" t="s">
        <v>130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6"/>
    <col collapsed="false" customWidth="true" hidden="false" outlineLevel="0" max="4" min="4" style="1" width="60"/>
  </cols>
  <sheetData>
    <row r="1" customFormat="false" ht="17.25" hidden="false" customHeight="true" outlineLevel="0" collapsed="false">
      <c r="A1" s="2" t="s">
        <v>131</v>
      </c>
    </row>
    <row r="2" customFormat="false" ht="15" hidden="false" customHeight="true" outlineLevel="0" collapsed="false">
      <c r="A2" s="3" t="s">
        <v>132</v>
      </c>
    </row>
    <row r="4" customFormat="false" ht="15" hidden="false" customHeight="true" outlineLevel="0" collapsed="false">
      <c r="A4" s="6" t="s">
        <v>133</v>
      </c>
      <c r="B4" s="29" t="n">
        <f aca="false">Assumptions!$B$7</f>
        <v>5</v>
      </c>
      <c r="D4" s="4" t="s">
        <v>134</v>
      </c>
    </row>
    <row r="5" customFormat="false" ht="15" hidden="false" customHeight="true" outlineLevel="0" collapsed="false">
      <c r="A5" s="6" t="s">
        <v>135</v>
      </c>
      <c r="B5" s="22" t="n">
        <f aca="false">B4*Assumptions!$B$12*12</f>
        <v>2340</v>
      </c>
      <c r="D5" s="4" t="s">
        <v>136</v>
      </c>
    </row>
    <row r="6" customFormat="false" ht="15" hidden="false" customHeight="true" outlineLevel="0" collapsed="false">
      <c r="A6" s="6" t="s">
        <v>137</v>
      </c>
      <c r="B6" s="22" t="n">
        <f aca="false">Assumptions!$B$14*12*Assumptions!$B$15</f>
        <v>1470</v>
      </c>
      <c r="D6" s="4" t="s">
        <v>138</v>
      </c>
    </row>
    <row r="7" customFormat="false" ht="15" hidden="false" customHeight="true" outlineLevel="0" collapsed="false">
      <c r="A7" s="6" t="s">
        <v>139</v>
      </c>
      <c r="B7" s="22" t="n">
        <f aca="false">Assumptions!$B$17*Assumptions!$B$16</f>
        <v>3000</v>
      </c>
      <c r="D7" s="4" t="s">
        <v>140</v>
      </c>
    </row>
    <row r="8" customFormat="false" ht="15" hidden="false" customHeight="true" outlineLevel="0" collapsed="false">
      <c r="A8" s="6" t="s">
        <v>141</v>
      </c>
      <c r="B8" s="22" t="n">
        <f aca="false">Assumptions!$B$18*Assumptions!$B$19</f>
        <v>75</v>
      </c>
      <c r="D8" s="4" t="s">
        <v>142</v>
      </c>
    </row>
    <row r="9" customFormat="false" ht="15" hidden="false" customHeight="true" outlineLevel="0" collapsed="false">
      <c r="A9" s="20" t="s">
        <v>143</v>
      </c>
      <c r="B9" s="27" t="n">
        <f aca="false">B5+B6+B8</f>
        <v>3885</v>
      </c>
      <c r="D9" s="4" t="s">
        <v>144</v>
      </c>
    </row>
    <row r="10" customFormat="false" ht="15" hidden="false" customHeight="true" outlineLevel="0" collapsed="false">
      <c r="A10" s="6" t="s">
        <v>145</v>
      </c>
      <c r="B10" s="22" t="n">
        <f aca="false">-(B4*Assumptions!$B$28*12 + Assumptions!$B$14*12*Assumptions!$B$15*Assumptions!$B$29 + Assumptions!$B$18*Assumptions!$B$19*Assumptions!$B$31)</f>
        <v>-901.5</v>
      </c>
      <c r="D10" s="4" t="s">
        <v>146</v>
      </c>
    </row>
    <row r="11" customFormat="false" ht="15" hidden="false" customHeight="true" outlineLevel="0" collapsed="false">
      <c r="A11" s="6" t="s">
        <v>147</v>
      </c>
      <c r="B11" s="22" t="n">
        <f aca="false">B9+B10</f>
        <v>2983.5</v>
      </c>
      <c r="D11" s="4"/>
    </row>
    <row r="12" customFormat="false" ht="15" hidden="false" customHeight="true" outlineLevel="0" collapsed="false">
      <c r="A12" s="6" t="s">
        <v>97</v>
      </c>
      <c r="B12" s="24" t="n">
        <f aca="false">IFERROR(B11/B9,0)</f>
        <v>0.767953667953668</v>
      </c>
      <c r="D12" s="4"/>
    </row>
    <row r="13" customFormat="false" ht="15" hidden="false" customHeight="true" outlineLevel="0" collapsed="false">
      <c r="A13" s="6" t="s">
        <v>148</v>
      </c>
      <c r="B13" s="22" t="n">
        <f aca="false">IFERROR(-Model!C36/(Assumptions!C23+Assumptions!C24),0)</f>
        <v>1818.18181818182</v>
      </c>
      <c r="D13" s="4" t="s">
        <v>149</v>
      </c>
    </row>
    <row r="14" customFormat="false" ht="15" hidden="false" customHeight="true" outlineLevel="0" collapsed="false">
      <c r="A14" s="20" t="s">
        <v>150</v>
      </c>
      <c r="B14" s="30" t="n">
        <f aca="false">IFERROR(B13/(B11/12),0)</f>
        <v>7.31294848941908</v>
      </c>
      <c r="D14" s="4" t="s">
        <v>151</v>
      </c>
    </row>
    <row r="15" customFormat="false" ht="15" hidden="false" customHeight="true" outlineLevel="0" collapsed="false">
      <c r="A15" s="6" t="s">
        <v>152</v>
      </c>
      <c r="B15" s="29" t="n">
        <f aca="false">IFERROR(1/Assumptions!$D$25,0)</f>
        <v>10</v>
      </c>
      <c r="D15" s="4" t="s">
        <v>153</v>
      </c>
    </row>
    <row r="16" customFormat="false" ht="15" hidden="false" customHeight="true" outlineLevel="0" collapsed="false">
      <c r="A16" s="6" t="s">
        <v>154</v>
      </c>
      <c r="B16" s="22" t="n">
        <f aca="false">B11*B15</f>
        <v>29835</v>
      </c>
      <c r="D16" s="4"/>
    </row>
    <row r="17" customFormat="false" ht="15" hidden="false" customHeight="true" outlineLevel="0" collapsed="false">
      <c r="A17" s="20" t="s">
        <v>155</v>
      </c>
      <c r="B17" s="31" t="n">
        <f aca="false">IFERROR(B16/B13,0)</f>
        <v>16.40925</v>
      </c>
      <c r="D17" s="4" t="s">
        <v>156</v>
      </c>
    </row>
    <row r="20" customFormat="false" ht="15" hidden="false" customHeight="true" outlineLevel="0" collapsed="false">
      <c r="A20" s="20" t="s">
        <v>157</v>
      </c>
    </row>
    <row r="21" customFormat="false" ht="15" hidden="false" customHeight="true" outlineLevel="0" collapsed="false">
      <c r="A21" s="6" t="s">
        <v>158</v>
      </c>
      <c r="B21" s="12" t="n">
        <v>1400</v>
      </c>
      <c r="D21" s="4" t="s">
        <v>159</v>
      </c>
    </row>
    <row r="22" customFormat="false" ht="15" hidden="false" customHeight="true" outlineLevel="0" collapsed="false">
      <c r="A22" s="6" t="s">
        <v>160</v>
      </c>
      <c r="B22" s="22" t="n">
        <f aca="false">Assumptions!$B$12*12</f>
        <v>468</v>
      </c>
      <c r="D22" s="4"/>
    </row>
    <row r="23" customFormat="false" ht="15" hidden="false" customHeight="true" outlineLevel="0" collapsed="false">
      <c r="A23" s="6" t="s">
        <v>161</v>
      </c>
      <c r="B23" s="24" t="n">
        <f aca="false">IFERROR(B22/B21,0)</f>
        <v>0.334285714285714</v>
      </c>
      <c r="D23" s="4" t="s">
        <v>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3" min="2" style="0" width="15"/>
    <col collapsed="false" customWidth="true" hidden="false" outlineLevel="0" max="4" min="4" style="0" width="70"/>
    <col collapsed="false" customWidth="true" hidden="false" outlineLevel="0" max="7" min="5" style="0" width="15"/>
  </cols>
  <sheetData>
    <row r="1" customFormat="false" ht="17.35" hidden="false" customHeight="false" outlineLevel="0" collapsed="false">
      <c r="A1" s="32" t="s">
        <v>163</v>
      </c>
    </row>
    <row r="2" customFormat="false" ht="15" hidden="false" customHeight="false" outlineLevel="0" collapsed="false">
      <c r="A2" s="33" t="s">
        <v>164</v>
      </c>
    </row>
    <row r="4" customFormat="false" ht="15" hidden="false" customHeight="false" outlineLevel="0" collapsed="false">
      <c r="A4" s="34" t="s">
        <v>165</v>
      </c>
      <c r="B4" s="14" t="s">
        <v>30</v>
      </c>
      <c r="C4" s="14" t="s">
        <v>31</v>
      </c>
      <c r="D4" s="14" t="s">
        <v>32</v>
      </c>
      <c r="E4" s="14" t="s">
        <v>33</v>
      </c>
      <c r="F4" s="14" t="s">
        <v>34</v>
      </c>
    </row>
    <row r="5" customFormat="false" ht="15" hidden="false" customHeight="false" outlineLevel="0" collapsed="false">
      <c r="A5" s="35" t="s">
        <v>166</v>
      </c>
    </row>
    <row r="6" customFormat="false" ht="15" hidden="false" customHeight="false" outlineLevel="0" collapsed="false">
      <c r="A6" s="36" t="s">
        <v>167</v>
      </c>
    </row>
    <row r="7" customFormat="false" ht="15" hidden="false" customHeight="false" outlineLevel="0" collapsed="false">
      <c r="A7" s="37" t="s">
        <v>168</v>
      </c>
      <c r="B7" s="38" t="n">
        <v>88920</v>
      </c>
      <c r="C7" s="38" t="n">
        <v>740633</v>
      </c>
      <c r="D7" s="38" t="n">
        <v>2673358</v>
      </c>
      <c r="E7" s="38" t="n">
        <v>5835300</v>
      </c>
      <c r="F7" s="38" t="n">
        <v>9060195</v>
      </c>
    </row>
    <row r="8" customFormat="false" ht="15" hidden="false" customHeight="false" outlineLevel="0" collapsed="false">
      <c r="A8" s="39" t="s">
        <v>169</v>
      </c>
      <c r="B8" s="40" t="n">
        <v>-1852311</v>
      </c>
      <c r="C8" s="40" t="n">
        <v>-3500024</v>
      </c>
      <c r="D8" s="40" t="n">
        <v>-5155184</v>
      </c>
      <c r="E8" s="40" t="n">
        <v>-6345191</v>
      </c>
      <c r="F8" s="40" t="n">
        <v>-7232092</v>
      </c>
    </row>
    <row r="9" customFormat="false" ht="15" hidden="false" customHeight="false" outlineLevel="0" collapsed="false">
      <c r="A9" s="37" t="s">
        <v>170</v>
      </c>
      <c r="B9" s="38" t="n">
        <v>-12000</v>
      </c>
      <c r="C9" s="38" t="n">
        <v>-38667</v>
      </c>
      <c r="D9" s="38" t="n">
        <v>-86667</v>
      </c>
      <c r="E9" s="38" t="n">
        <v>-146667</v>
      </c>
      <c r="F9" s="38" t="n">
        <v>-213333</v>
      </c>
    </row>
    <row r="10" customFormat="false" ht="15" hidden="false" customHeight="false" outlineLevel="0" collapsed="false">
      <c r="A10" s="37" t="s">
        <v>171</v>
      </c>
      <c r="B10" s="38" t="n">
        <v>-1864311</v>
      </c>
      <c r="C10" s="38" t="n">
        <v>-3538691</v>
      </c>
      <c r="D10" s="38" t="n">
        <v>-5241851</v>
      </c>
      <c r="E10" s="38" t="n">
        <v>-6491858</v>
      </c>
      <c r="F10" s="38" t="n">
        <v>-7445425</v>
      </c>
    </row>
    <row r="11" customFormat="false" ht="15" hidden="false" customHeight="false" outlineLevel="0" collapsed="false">
      <c r="A11" s="37" t="s">
        <v>172</v>
      </c>
      <c r="B11" s="38" t="n">
        <v>0</v>
      </c>
      <c r="C11" s="38" t="n">
        <v>0</v>
      </c>
      <c r="D11" s="38" t="n">
        <v>0</v>
      </c>
      <c r="E11" s="38" t="n">
        <v>0</v>
      </c>
      <c r="F11" s="38" t="n">
        <v>0</v>
      </c>
    </row>
    <row r="12" customFormat="false" ht="15" hidden="false" customHeight="false" outlineLevel="0" collapsed="false">
      <c r="A12" s="39" t="s">
        <v>173</v>
      </c>
      <c r="B12" s="40" t="n">
        <v>-1864311</v>
      </c>
      <c r="C12" s="40" t="n">
        <v>-3538691</v>
      </c>
      <c r="D12" s="40" t="n">
        <v>-5241851</v>
      </c>
      <c r="E12" s="40" t="n">
        <v>-6491858</v>
      </c>
      <c r="F12" s="40" t="n">
        <v>-7445425</v>
      </c>
    </row>
    <row r="13" customFormat="false" ht="15" hidden="false" customHeight="false" outlineLevel="0" collapsed="false">
      <c r="A13" s="37" t="s">
        <v>174</v>
      </c>
      <c r="B13" s="38" t="n">
        <v>1864311</v>
      </c>
      <c r="C13" s="38" t="n">
        <v>5403002</v>
      </c>
      <c r="D13" s="38" t="n">
        <v>10644852</v>
      </c>
      <c r="E13" s="38" t="n">
        <v>17136710</v>
      </c>
      <c r="F13" s="38" t="n">
        <v>24582135</v>
      </c>
    </row>
    <row r="14" customFormat="false" ht="15" hidden="false" customHeight="false" outlineLevel="0" collapsed="false">
      <c r="A14" s="37" t="s">
        <v>175</v>
      </c>
      <c r="B14" s="38" t="n">
        <v>-1864311</v>
      </c>
      <c r="C14" s="38" t="n">
        <v>-5403002</v>
      </c>
      <c r="D14" s="38" t="n">
        <v>-10644852</v>
      </c>
      <c r="E14" s="38" t="n">
        <v>-17136710</v>
      </c>
      <c r="F14" s="38" t="n">
        <v>-24582135</v>
      </c>
    </row>
    <row r="16" customFormat="false" ht="15" hidden="false" customHeight="false" outlineLevel="0" collapsed="false">
      <c r="A16" s="35" t="s">
        <v>176</v>
      </c>
    </row>
    <row r="17" customFormat="false" ht="15" hidden="false" customHeight="false" outlineLevel="0" collapsed="false">
      <c r="A17" s="36" t="s">
        <v>177</v>
      </c>
    </row>
    <row r="18" customFormat="false" ht="15" hidden="false" customHeight="false" outlineLevel="0" collapsed="false">
      <c r="A18" s="37" t="s">
        <v>168</v>
      </c>
      <c r="B18" s="38" t="n">
        <v>88920</v>
      </c>
      <c r="C18" s="38" t="n">
        <v>740633</v>
      </c>
      <c r="D18" s="38" t="n">
        <v>2673358</v>
      </c>
      <c r="E18" s="38" t="n">
        <v>5835300</v>
      </c>
      <c r="F18" s="38" t="n">
        <v>9060195</v>
      </c>
    </row>
    <row r="19" customFormat="false" ht="15" hidden="false" customHeight="false" outlineLevel="0" collapsed="false">
      <c r="A19" s="39" t="s">
        <v>169</v>
      </c>
      <c r="B19" s="40" t="n">
        <v>-1693000</v>
      </c>
      <c r="C19" s="40" t="n">
        <v>-2850000</v>
      </c>
      <c r="D19" s="40" t="n">
        <v>-3130000</v>
      </c>
      <c r="E19" s="40" t="n">
        <v>-2180000</v>
      </c>
      <c r="F19" s="40" t="n">
        <v>-1150000</v>
      </c>
    </row>
    <row r="20" customFormat="false" ht="15" hidden="false" customHeight="false" outlineLevel="0" collapsed="false">
      <c r="A20" s="37" t="s">
        <v>170</v>
      </c>
      <c r="B20" s="38" t="n">
        <v>-10667</v>
      </c>
      <c r="C20" s="38" t="n">
        <v>-32000</v>
      </c>
      <c r="D20" s="38" t="n">
        <v>-64000</v>
      </c>
      <c r="E20" s="38" t="n">
        <v>-93333</v>
      </c>
      <c r="F20" s="38" t="n">
        <v>-120000</v>
      </c>
    </row>
    <row r="21" customFormat="false" ht="15" hidden="false" customHeight="false" outlineLevel="0" collapsed="false">
      <c r="A21" s="37" t="s">
        <v>171</v>
      </c>
      <c r="B21" s="38" t="n">
        <v>-1703667</v>
      </c>
      <c r="C21" s="38" t="n">
        <v>-2882000</v>
      </c>
      <c r="D21" s="38" t="n">
        <v>-3194000</v>
      </c>
      <c r="E21" s="38" t="n">
        <v>-2273333</v>
      </c>
      <c r="F21" s="38" t="n">
        <v>-1270000</v>
      </c>
    </row>
    <row r="22" customFormat="false" ht="15" hidden="false" customHeight="false" outlineLevel="0" collapsed="false">
      <c r="A22" s="37" t="s">
        <v>172</v>
      </c>
      <c r="B22" s="38" t="n">
        <v>0</v>
      </c>
      <c r="C22" s="38" t="n">
        <v>0</v>
      </c>
      <c r="D22" s="38" t="n">
        <v>0</v>
      </c>
      <c r="E22" s="38" t="n">
        <v>0</v>
      </c>
      <c r="F22" s="38" t="n">
        <v>0</v>
      </c>
    </row>
    <row r="23" customFormat="false" ht="15" hidden="false" customHeight="false" outlineLevel="0" collapsed="false">
      <c r="A23" s="39" t="s">
        <v>173</v>
      </c>
      <c r="B23" s="40" t="n">
        <v>-1703667</v>
      </c>
      <c r="C23" s="40" t="n">
        <v>-2882000</v>
      </c>
      <c r="D23" s="40" t="n">
        <v>-3194000</v>
      </c>
      <c r="E23" s="40" t="n">
        <v>-2273333</v>
      </c>
      <c r="F23" s="40" t="n">
        <v>-1270000</v>
      </c>
    </row>
    <row r="24" customFormat="false" ht="15" hidden="false" customHeight="false" outlineLevel="0" collapsed="false">
      <c r="A24" s="37" t="s">
        <v>174</v>
      </c>
      <c r="B24" s="38" t="n">
        <v>1703667</v>
      </c>
      <c r="C24" s="38" t="n">
        <v>4585667</v>
      </c>
      <c r="D24" s="38" t="n">
        <v>7779667</v>
      </c>
      <c r="E24" s="38" t="n">
        <v>10053000</v>
      </c>
      <c r="F24" s="38" t="n">
        <v>11323000</v>
      </c>
    </row>
    <row r="25" customFormat="false" ht="15" hidden="false" customHeight="false" outlineLevel="0" collapsed="false">
      <c r="A25" s="37" t="s">
        <v>175</v>
      </c>
      <c r="B25" s="38" t="n">
        <v>-1703667</v>
      </c>
      <c r="C25" s="38" t="n">
        <v>-4585667</v>
      </c>
      <c r="D25" s="38" t="n">
        <v>-7779667</v>
      </c>
      <c r="E25" s="38" t="n">
        <v>-10053000</v>
      </c>
      <c r="F25" s="38" t="n">
        <v>-11323000</v>
      </c>
    </row>
    <row r="27" customFormat="false" ht="15" hidden="false" customHeight="false" outlineLevel="0" collapsed="false">
      <c r="A27" s="35" t="s">
        <v>178</v>
      </c>
    </row>
    <row r="28" customFormat="false" ht="15" hidden="false" customHeight="false" outlineLevel="0" collapsed="false">
      <c r="A28" s="36" t="s">
        <v>179</v>
      </c>
    </row>
    <row r="29" customFormat="false" ht="15" hidden="false" customHeight="false" outlineLevel="0" collapsed="false">
      <c r="A29" s="37" t="s">
        <v>168</v>
      </c>
      <c r="B29" s="38" t="n">
        <v>122000</v>
      </c>
      <c r="C29" s="38" t="n">
        <v>1000000</v>
      </c>
      <c r="D29" s="38" t="n">
        <v>3620000</v>
      </c>
      <c r="E29" s="38" t="n">
        <v>7890000</v>
      </c>
      <c r="F29" s="38" t="n">
        <v>12310000</v>
      </c>
    </row>
    <row r="30" customFormat="false" ht="15" hidden="false" customHeight="false" outlineLevel="0" collapsed="false">
      <c r="A30" s="39" t="s">
        <v>169</v>
      </c>
      <c r="B30" s="40" t="n">
        <v>-1670000</v>
      </c>
      <c r="C30" s="40" t="n">
        <v>-2650000</v>
      </c>
      <c r="D30" s="40" t="n">
        <v>-2400000</v>
      </c>
      <c r="E30" s="40" t="n">
        <v>-670000</v>
      </c>
      <c r="F30" s="40" t="n">
        <v>1030000</v>
      </c>
    </row>
    <row r="31" customFormat="false" ht="15" hidden="false" customHeight="false" outlineLevel="0" collapsed="false">
      <c r="A31" s="37" t="s">
        <v>170</v>
      </c>
      <c r="B31" s="38" t="n">
        <v>-10667</v>
      </c>
      <c r="C31" s="38" t="n">
        <v>-32000</v>
      </c>
      <c r="D31" s="38" t="n">
        <v>-64000</v>
      </c>
      <c r="E31" s="38" t="n">
        <v>-93333</v>
      </c>
      <c r="F31" s="38" t="n">
        <v>-120000</v>
      </c>
    </row>
    <row r="32" customFormat="false" ht="15" hidden="false" customHeight="false" outlineLevel="0" collapsed="false">
      <c r="A32" s="37" t="s">
        <v>171</v>
      </c>
      <c r="B32" s="38" t="n">
        <v>-1680667</v>
      </c>
      <c r="C32" s="38" t="n">
        <v>-2682000</v>
      </c>
      <c r="D32" s="38" t="n">
        <v>-2464000</v>
      </c>
      <c r="E32" s="38" t="n">
        <v>-763333</v>
      </c>
      <c r="F32" s="38" t="n">
        <v>910000</v>
      </c>
    </row>
    <row r="33" customFormat="false" ht="15" hidden="false" customHeight="false" outlineLevel="0" collapsed="false">
      <c r="A33" s="37" t="s">
        <v>172</v>
      </c>
      <c r="B33" s="38" t="n">
        <v>0</v>
      </c>
      <c r="C33" s="38" t="n">
        <v>0</v>
      </c>
      <c r="D33" s="38" t="n">
        <v>0</v>
      </c>
      <c r="E33" s="38" t="n">
        <v>0</v>
      </c>
      <c r="F33" s="38" t="n">
        <v>0</v>
      </c>
    </row>
    <row r="34" customFormat="false" ht="15" hidden="false" customHeight="false" outlineLevel="0" collapsed="false">
      <c r="A34" s="39" t="s">
        <v>173</v>
      </c>
      <c r="B34" s="40" t="n">
        <v>-1680667</v>
      </c>
      <c r="C34" s="40" t="n">
        <v>-2682000</v>
      </c>
      <c r="D34" s="40" t="n">
        <v>-2464000</v>
      </c>
      <c r="E34" s="40" t="n">
        <v>-763333</v>
      </c>
      <c r="F34" s="40" t="n">
        <v>910000</v>
      </c>
    </row>
    <row r="35" customFormat="false" ht="15" hidden="false" customHeight="false" outlineLevel="0" collapsed="false">
      <c r="A35" s="37" t="s">
        <v>174</v>
      </c>
      <c r="B35" s="38" t="n">
        <v>1680667</v>
      </c>
      <c r="C35" s="38" t="n">
        <v>4362667</v>
      </c>
      <c r="D35" s="38" t="n">
        <v>6826667</v>
      </c>
      <c r="E35" s="38" t="n">
        <v>7590000</v>
      </c>
      <c r="F35" s="38" t="n">
        <v>6680000</v>
      </c>
    </row>
    <row r="36" customFormat="false" ht="15" hidden="false" customHeight="false" outlineLevel="0" collapsed="false">
      <c r="A36" s="37" t="s">
        <v>175</v>
      </c>
      <c r="B36" s="38" t="n">
        <v>-1680667</v>
      </c>
      <c r="C36" s="38" t="n">
        <v>-4362667</v>
      </c>
      <c r="D36" s="38" t="n">
        <v>-6826667</v>
      </c>
      <c r="E36" s="38" t="n">
        <v>-7590000</v>
      </c>
      <c r="F36" s="38" t="n">
        <v>-6680000</v>
      </c>
    </row>
    <row r="38" customFormat="false" ht="15" hidden="false" customHeight="false" outlineLevel="0" collapsed="false">
      <c r="A38" s="41" t="s">
        <v>180</v>
      </c>
    </row>
    <row r="39" customFormat="false" ht="15" hidden="false" customHeight="false" outlineLevel="0" collapsed="false">
      <c r="A39" s="36" t="s">
        <v>181</v>
      </c>
    </row>
    <row r="40" customFormat="false" ht="15" hidden="false" customHeight="false" outlineLevel="0" collapsed="false">
      <c r="A40" s="37" t="s">
        <v>168</v>
      </c>
      <c r="B40" s="38" t="n">
        <v>170000</v>
      </c>
      <c r="C40" s="38" t="n">
        <v>1350000</v>
      </c>
      <c r="D40" s="38" t="n">
        <v>4780000</v>
      </c>
      <c r="E40" s="38" t="n">
        <v>10300000</v>
      </c>
      <c r="F40" s="38" t="n">
        <v>16210000</v>
      </c>
    </row>
    <row r="41" customFormat="false" ht="15" hidden="false" customHeight="false" outlineLevel="0" collapsed="false">
      <c r="A41" s="39" t="s">
        <v>169</v>
      </c>
      <c r="B41" s="40" t="n">
        <v>-1630000</v>
      </c>
      <c r="C41" s="40" t="n">
        <v>-2400000</v>
      </c>
      <c r="D41" s="40" t="n">
        <v>-1630000</v>
      </c>
      <c r="E41" s="40" t="n">
        <v>670000</v>
      </c>
      <c r="F41" s="40" t="n">
        <v>3280000</v>
      </c>
    </row>
    <row r="42" customFormat="false" ht="15" hidden="false" customHeight="false" outlineLevel="0" collapsed="false">
      <c r="A42" s="37" t="s">
        <v>170</v>
      </c>
      <c r="B42" s="38" t="n">
        <v>-10667</v>
      </c>
      <c r="C42" s="38" t="n">
        <v>-32000</v>
      </c>
      <c r="D42" s="38" t="n">
        <v>-64000</v>
      </c>
      <c r="E42" s="38" t="n">
        <v>-93333</v>
      </c>
      <c r="F42" s="38" t="n">
        <v>-120000</v>
      </c>
    </row>
    <row r="43" customFormat="false" ht="15" hidden="false" customHeight="false" outlineLevel="0" collapsed="false">
      <c r="A43" s="37" t="s">
        <v>171</v>
      </c>
      <c r="B43" s="38" t="n">
        <v>-1640667</v>
      </c>
      <c r="C43" s="38" t="n">
        <v>-2432000</v>
      </c>
      <c r="D43" s="38" t="n">
        <v>-1694000</v>
      </c>
      <c r="E43" s="38" t="n">
        <v>576667</v>
      </c>
      <c r="F43" s="38" t="n">
        <v>3160000</v>
      </c>
    </row>
    <row r="44" customFormat="false" ht="15" hidden="false" customHeight="false" outlineLevel="0" collapsed="false">
      <c r="A44" s="37" t="s">
        <v>172</v>
      </c>
      <c r="B44" s="38" t="n">
        <v>0</v>
      </c>
      <c r="C44" s="38" t="n">
        <v>0</v>
      </c>
      <c r="D44" s="38" t="n">
        <v>0</v>
      </c>
      <c r="E44" s="38" t="n">
        <v>0</v>
      </c>
      <c r="F44" s="38" t="n">
        <v>0</v>
      </c>
    </row>
    <row r="45" customFormat="false" ht="15" hidden="false" customHeight="false" outlineLevel="0" collapsed="false">
      <c r="A45" s="39" t="s">
        <v>173</v>
      </c>
      <c r="B45" s="42" t="n">
        <v>-1640667</v>
      </c>
      <c r="C45" s="42" t="n">
        <v>-2432000</v>
      </c>
      <c r="D45" s="42" t="n">
        <v>-1694000</v>
      </c>
      <c r="E45" s="42" t="n">
        <v>576667</v>
      </c>
      <c r="F45" s="42" t="n">
        <v>3160000</v>
      </c>
    </row>
    <row r="46" customFormat="false" ht="15" hidden="false" customHeight="false" outlineLevel="0" collapsed="false">
      <c r="A46" s="37" t="s">
        <v>174</v>
      </c>
      <c r="B46" s="38" t="n">
        <v>1640667</v>
      </c>
      <c r="C46" s="38" t="n">
        <v>4072667</v>
      </c>
      <c r="D46" s="38" t="n">
        <v>5766667</v>
      </c>
      <c r="E46" s="38" t="n">
        <v>5190000</v>
      </c>
      <c r="F46" s="38" t="n">
        <v>2030000</v>
      </c>
    </row>
    <row r="47" customFormat="false" ht="15" hidden="false" customHeight="false" outlineLevel="0" collapsed="false">
      <c r="A47" s="37" t="s">
        <v>175</v>
      </c>
      <c r="B47" s="38" t="n">
        <v>-1640667</v>
      </c>
      <c r="C47" s="38" t="n">
        <v>-4072667</v>
      </c>
      <c r="D47" s="38" t="n">
        <v>-5766667</v>
      </c>
      <c r="E47" s="38" t="n">
        <v>-5190000</v>
      </c>
      <c r="F47" s="38" t="n">
        <v>-2030000</v>
      </c>
    </row>
    <row r="49" customFormat="false" ht="15" hidden="false" customHeight="false" outlineLevel="0" collapsed="false">
      <c r="A49" s="35" t="s">
        <v>182</v>
      </c>
    </row>
    <row r="50" customFormat="false" ht="57.75" hidden="false" customHeight="true" outlineLevel="0" collapsed="false">
      <c r="A50" s="36" t="s">
        <v>183</v>
      </c>
    </row>
    <row r="52" customFormat="false" ht="15" hidden="false" customHeight="false" outlineLevel="0" collapsed="false">
      <c r="A52" s="35" t="s">
        <v>184</v>
      </c>
    </row>
    <row r="53" customFormat="false" ht="15" hidden="false" customHeight="false" outlineLevel="0" collapsed="false">
      <c r="A53" s="37" t="s">
        <v>185</v>
      </c>
      <c r="B53" s="40" t="n">
        <v>3885</v>
      </c>
      <c r="D53" s="36" t="s">
        <v>186</v>
      </c>
    </row>
    <row r="54" customFormat="false" ht="15" hidden="false" customHeight="false" outlineLevel="0" collapsed="false">
      <c r="A54" s="37" t="s">
        <v>187</v>
      </c>
      <c r="B54" s="40" t="n">
        <v>5655</v>
      </c>
      <c r="D54" s="36" t="s">
        <v>188</v>
      </c>
    </row>
    <row r="55" customFormat="false" ht="15" hidden="false" customHeight="false" outlineLevel="0" collapsed="false">
      <c r="A55" s="37" t="s">
        <v>189</v>
      </c>
      <c r="B55" s="40" t="n">
        <v>37600000</v>
      </c>
      <c r="D55" s="36" t="s">
        <v>190</v>
      </c>
    </row>
    <row r="56" customFormat="false" ht="15" hidden="false" customHeight="false" outlineLevel="0" collapsed="false">
      <c r="A56" s="37" t="s">
        <v>191</v>
      </c>
      <c r="B56" s="40" t="n">
        <v>51700000</v>
      </c>
      <c r="D56" s="36"/>
    </row>
    <row r="57" customFormat="false" ht="15" hidden="false" customHeight="false" outlineLevel="0" collapsed="false">
      <c r="A57" s="37" t="s">
        <v>192</v>
      </c>
      <c r="B57" s="40" t="n">
        <v>12900000</v>
      </c>
      <c r="D57" s="36" t="s">
        <v>193</v>
      </c>
    </row>
    <row r="58" customFormat="false" ht="15" hidden="false" customHeight="false" outlineLevel="0" collapsed="false">
      <c r="A58" s="37" t="s">
        <v>194</v>
      </c>
      <c r="B58" s="40" t="n">
        <v>8750</v>
      </c>
      <c r="D58" s="36" t="s">
        <v>195</v>
      </c>
    </row>
    <row r="59" customFormat="false" ht="15" hidden="false" customHeight="false" outlineLevel="0" collapsed="false">
      <c r="A59" s="37" t="s">
        <v>196</v>
      </c>
      <c r="B59" s="43" t="n">
        <v>0.65</v>
      </c>
      <c r="D59" s="36" t="s">
        <v>197</v>
      </c>
    </row>
    <row r="61" customFormat="false" ht="15" hidden="false" customHeight="false" outlineLevel="0" collapsed="false">
      <c r="A61" s="35" t="s">
        <v>198</v>
      </c>
    </row>
    <row r="62" customFormat="false" ht="15" hidden="false" customHeight="false" outlineLevel="0" collapsed="false">
      <c r="A62" s="34" t="s">
        <v>199</v>
      </c>
      <c r="B62" s="14" t="n">
        <v>30</v>
      </c>
      <c r="C62" s="14" t="n">
        <v>40</v>
      </c>
      <c r="D62" s="14" t="n">
        <v>50</v>
      </c>
      <c r="E62" s="14" t="n">
        <v>70</v>
      </c>
    </row>
    <row r="63" customFormat="false" ht="15" hidden="false" customHeight="false" outlineLevel="0" collapsed="false">
      <c r="A63" s="37" t="s">
        <v>200</v>
      </c>
      <c r="B63" s="38" t="n">
        <v>9000000</v>
      </c>
      <c r="C63" s="38" t="n">
        <v>11800000</v>
      </c>
      <c r="D63" s="38" t="n">
        <v>14700000</v>
      </c>
      <c r="E63" s="38" t="n">
        <v>20300000</v>
      </c>
    </row>
    <row r="64" customFormat="false" ht="15" hidden="false" customHeight="false" outlineLevel="0" collapsed="false">
      <c r="A64" s="37" t="s">
        <v>201</v>
      </c>
      <c r="B64" s="44" t="n">
        <v>2314</v>
      </c>
      <c r="C64" s="44" t="n">
        <v>3045</v>
      </c>
      <c r="D64" s="44" t="n">
        <v>3776</v>
      </c>
      <c r="E64" s="44" t="n">
        <v>5225</v>
      </c>
    </row>
    <row r="65" customFormat="false" ht="15" hidden="false" customHeight="false" outlineLevel="0" collapsed="false">
      <c r="A65" s="37" t="s">
        <v>202</v>
      </c>
      <c r="B65" s="45" t="n">
        <v>0.32</v>
      </c>
      <c r="C65" s="45" t="n">
        <v>0.43</v>
      </c>
      <c r="D65" s="45" t="n">
        <v>0.53</v>
      </c>
      <c r="E65" s="45" t="n">
        <v>0.73</v>
      </c>
    </row>
    <row r="67" customFormat="false" ht="15" hidden="false" customHeight="false" outlineLevel="0" collapsed="false">
      <c r="A67" s="46" t="s">
        <v>203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16"/>
    <col collapsed="false" customWidth="true" hidden="false" outlineLevel="0" max="4" min="4" style="1" width="80"/>
    <col collapsed="false" customWidth="true" hidden="false" outlineLevel="0" max="6" min="5" style="1" width="16"/>
  </cols>
  <sheetData>
    <row r="1" customFormat="false" ht="17.25" hidden="false" customHeight="true" outlineLevel="0" collapsed="false">
      <c r="A1" s="2" t="s">
        <v>204</v>
      </c>
    </row>
    <row r="2" customFormat="false" ht="15" hidden="false" customHeight="true" outlineLevel="0" collapsed="false">
      <c r="A2" s="3" t="s">
        <v>205</v>
      </c>
    </row>
    <row r="4" customFormat="false" ht="15" hidden="false" customHeight="true" outlineLevel="0" collapsed="false">
      <c r="A4" s="20" t="s">
        <v>206</v>
      </c>
      <c r="B4" s="47" t="n">
        <f aca="false">Model!B69</f>
        <v>24996384.9506283</v>
      </c>
    </row>
    <row r="6" customFormat="false" ht="15" hidden="false" customHeight="true" outlineLevel="0" collapsed="false">
      <c r="A6" s="20" t="s">
        <v>207</v>
      </c>
    </row>
    <row r="7" customFormat="false" ht="15" hidden="false" customHeight="true" outlineLevel="0" collapsed="false">
      <c r="A7" s="20" t="s">
        <v>208</v>
      </c>
      <c r="B7" s="6" t="s">
        <v>209</v>
      </c>
      <c r="D7" s="4" t="s">
        <v>210</v>
      </c>
    </row>
    <row r="8" customFormat="false" ht="15" hidden="false" customHeight="true" outlineLevel="0" collapsed="false">
      <c r="A8" s="20" t="s">
        <v>211</v>
      </c>
      <c r="B8" s="6" t="s">
        <v>212</v>
      </c>
      <c r="D8" s="4" t="s">
        <v>213</v>
      </c>
    </row>
    <row r="9" customFormat="false" ht="15" hidden="false" customHeight="true" outlineLevel="0" collapsed="false">
      <c r="A9" s="20" t="s">
        <v>214</v>
      </c>
      <c r="B9" s="6" t="s">
        <v>215</v>
      </c>
      <c r="D9" s="4" t="s">
        <v>216</v>
      </c>
    </row>
    <row r="12" customFormat="false" ht="15" hidden="false" customHeight="true" outlineLevel="0" collapsed="false">
      <c r="A12" s="48" t="s">
        <v>217</v>
      </c>
    </row>
    <row r="14" customFormat="false" ht="15" hidden="false" customHeight="true" outlineLevel="0" collapsed="false">
      <c r="A14" s="20" t="s">
        <v>218</v>
      </c>
    </row>
    <row r="15" customFormat="false" ht="15" hidden="false" customHeight="true" outlineLevel="0" collapsed="false">
      <c r="A15" s="4" t="s">
        <v>219</v>
      </c>
    </row>
    <row r="16" customFormat="false" ht="15" hidden="false" customHeight="true" outlineLevel="0" collapsed="false">
      <c r="A16" s="4" t="s">
        <v>220</v>
      </c>
    </row>
    <row r="17" customFormat="false" ht="15" hidden="false" customHeight="true" outlineLevel="0" collapsed="false">
      <c r="A17" s="4" t="s">
        <v>221</v>
      </c>
    </row>
    <row r="18" customFormat="false" ht="15" hidden="false" customHeight="true" outlineLevel="0" collapsed="false">
      <c r="A18" s="4" t="s">
        <v>222</v>
      </c>
    </row>
    <row r="19" customFormat="false" ht="15" hidden="false" customHeight="true" outlineLevel="0" collapsed="false">
      <c r="A19" s="4" t="s">
        <v>223</v>
      </c>
    </row>
    <row r="20" customFormat="false" ht="15" hidden="false" customHeight="true" outlineLevel="0" collapsed="false">
      <c r="A20" s="4" t="s">
        <v>224</v>
      </c>
    </row>
    <row r="21" customFormat="false" ht="15" hidden="false" customHeight="true" outlineLevel="0" collapsed="false">
      <c r="A21" s="4" t="s">
        <v>225</v>
      </c>
    </row>
    <row r="22" customFormat="false" ht="15" hidden="false" customHeight="true" outlineLevel="0" collapsed="false">
      <c r="A22" s="4" t="s">
        <v>226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2026-08-20T03:31:32Z</dcterms:created>
  <dc:creator>openpyxl</dc:creator>
  <dc:description/>
  <dc:language>en-US</dc:language>
  <cp:lastModifiedBy/>
  <dcterms:modified xsi:type="dcterms:W3CDTF">2026-08-20T03:32:17Z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